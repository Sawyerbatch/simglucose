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simglucose\Simulazioni_RL\Risultati\adolescent_new_double_20250103\"/>
    </mc:Choice>
  </mc:AlternateContent>
  <xr:revisionPtr revIDLastSave="0" documentId="13_ncr:1_{310E2E9D-9FEB-46E3-A761-ECF5EF80F6B5}" xr6:coauthVersionLast="47" xr6:coauthVersionMax="47" xr10:uidLastSave="{00000000-0000-0000-0000-000000000000}"/>
  <bookViews>
    <workbookView xWindow="15264" yWindow="0" windowWidth="15552" windowHeight="16656" activeTab="1" xr2:uid="{00000000-000D-0000-FFFF-FFFF00000000}"/>
  </bookViews>
  <sheets>
    <sheet name="adolescent#010" sheetId="1" r:id="rId1"/>
    <sheet name="risultat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" i="2" l="1"/>
  <c r="Q13" i="2" s="1"/>
  <c r="V12" i="2"/>
  <c r="P13" i="2" s="1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I13" i="2" s="1"/>
  <c r="B12" i="2"/>
  <c r="H13" i="2" s="1"/>
  <c r="L16" i="2" s="1"/>
</calcChain>
</file>

<file path=xl/sharedStrings.xml><?xml version="1.0" encoding="utf-8"?>
<sst xmlns="http://schemas.openxmlformats.org/spreadsheetml/2006/main" count="521" uniqueCount="184">
  <si>
    <t>death hypo</t>
  </si>
  <si>
    <t>ultra hypo</t>
  </si>
  <si>
    <t>heavy hypo</t>
  </si>
  <si>
    <t>severe hypo</t>
  </si>
  <si>
    <t>hypo</t>
  </si>
  <si>
    <t>time in range</t>
  </si>
  <si>
    <t>hyper</t>
  </si>
  <si>
    <t>severe hyper</t>
  </si>
  <si>
    <t>heavy hyper</t>
  </si>
  <si>
    <t>ultra hyper</t>
  </si>
  <si>
    <t>death hyper</t>
  </si>
  <si>
    <t>reward</t>
  </si>
  <si>
    <t>LBGI mean</t>
  </si>
  <si>
    <t>LBGI std</t>
  </si>
  <si>
    <t>HBGI mean</t>
  </si>
  <si>
    <t>HBGI std</t>
  </si>
  <si>
    <t>RI mean</t>
  </si>
  <si>
    <t>RI std</t>
  </si>
  <si>
    <t>cap iper</t>
  </si>
  <si>
    <t>cap ipo</t>
  </si>
  <si>
    <t>soglia iper</t>
  </si>
  <si>
    <t>soglia ipo</t>
  </si>
  <si>
    <t>training learning rate</t>
  </si>
  <si>
    <t>training n steps</t>
  </si>
  <si>
    <t>training timesteps</t>
  </si>
  <si>
    <t>test timesteps</t>
  </si>
  <si>
    <t>ripetizione</t>
  </si>
  <si>
    <t>scenario</t>
  </si>
  <si>
    <t>tempo esecuzione</t>
  </si>
  <si>
    <t>0.09</t>
  </si>
  <si>
    <t>0.05</t>
  </si>
  <si>
    <t>00003</t>
  </si>
  <si>
    <t>[(9, 30), (13, 80), (17, 13), (20, 78), (36, 96), (45, 91), (54, 27), (60, 109), (64, 16), (71, 89), (84, 144), (93, 79), (102, 42), (109, 59), (118, 105)]</t>
  </si>
  <si>
    <t>[(6, 37), (12, 147), (19, 93), (37, 105), (44, 53), (61, 90), (69, 80), (85, 75), (93, 115), (105, 43), (108, 112), (116, 74)]</t>
  </si>
  <si>
    <t>[(6, 35), (13, 140), (19, 100), (36, 113), (40, 9), (45, 89), (61, 125), (70, 73), (84, 113), (93, 103), (105, 44), (108, 110), (113, 10), (116, 90)]</t>
  </si>
  <si>
    <t>[(9, 40), (12, 95), (17, 10), (19, 77), (37, 100), (46, 47), (54, 37), (61, 104), (63, 8), (68, 77), (84, 138), (93, 83), (108, 68), (112, 12), (117, 100)]</t>
  </si>
  <si>
    <t>[(12, 82), (22, 106), (32, 36), (38, 147), (45, 47), (60, 113), (69, 91), (85, 124), (94, 69), (102, 39), (108, 94), (117, 73)]</t>
  </si>
  <si>
    <t>[(10, 36), (12, 82), (18, 6), (23, 90), (36, 98), (41, 11), (43, 70), (57, 40), (61, 98), (66, 12), (67, 83), (79, 43), (84, 112), (92, 80), (104, 36), (109, 87), (113, 6), (115, 122)]</t>
  </si>
  <si>
    <t>[(7, 34), (13, 110), (21, 105), (36, 67), (44, 77), (60, 92), (65, 12), (69, 83), (73, 13), (80, 30), (85, 107), (92, 102), (105, 27), (107, 83), (112, 12), (115, 79)]</t>
  </si>
  <si>
    <t>[(9, 31), (13, 114), (18, 12), (21, 84), (31, 39), (36, 118), (44, 98), (61, 77), (65, 10), (68, 88), (79, 18), (84, 115), (93, 63), (108, 83), (116, 73)]</t>
  </si>
  <si>
    <t>[(13, 110), (17, 11), (21, 95), (34, 47), (36, 132), (44, 61), (61, 85), (81, 26), (85, 124), (93, 119), (105, 28), (109, 62), (115, 75)]</t>
  </si>
  <si>
    <t>[(7, 25), (12, 105), (16, 12), (22, 72), (37, 80), (42, 10), (43, 81), (55, 24), (61, 137), (67, 14), (68, 80), (78, 25), (85, 154), (93, 86), (105, 34), (109, 126), (115, 123)]</t>
  </si>
  <si>
    <t>[(6, 33), (13, 110), (17, 10), (21, 86), (36, 106), (44, 89), (56, 43), (60, 123), (64, 12), (67, 62), (78, 16), (85, 155), (92, 62), (108, 98), (117, 64)]</t>
  </si>
  <si>
    <t>[(13, 107), (21, 97), (32, 40), (36, 98), (44, 70), (55, 36), (60, 123), (65, 11), (68, 101), (79, 26), (84, 79), (93, 127), (108, 141), (116, 102), (121, 10)]</t>
  </si>
  <si>
    <t>[(7, 38), (12, 154), (18, 63), (36, 90), (45, 114), (54, 46), (60, 96), (68, 85), (77, 43), (84, 114), (88, 9), (93, 74), (109, 109), (117, 55)]</t>
  </si>
  <si>
    <t>[(12, 145), (20, 78), (34, 28), (37, 81), (42, 10), (44, 86), (60, 112), (69, 52), (79, 39), (84, 75), (103, 30), (108, 94), (116, 57)]</t>
  </si>
  <si>
    <t>[(7, 42), (13, 57), (20, 90), (36, 59), (46, 73), (57, 32), (61, 86), (68, 67), (84, 55), (87, 10), (94, 72), (104, 36), (109, 119), (117, 105)]</t>
  </si>
  <si>
    <t>[(13, 99), (21, 100), (23, 14), (32, 41), (36, 135), (41, 10), (44, 72), (52, 34), (60, 105), (64, 16), (67, 103), (80, 43), (84, 49), (89, 15), (94, 92), (108, 110), (115, 92)]</t>
  </si>
  <si>
    <t>[(6, 41), (13, 103), (21, 84), (37, 124), (45, 79), (62, 132), (68, 62), (79, 36), (85, 96), (92, 95), (105, 28), (109, 90), (115, 73)]</t>
  </si>
  <si>
    <t>[(9, 44), (12, 116), (21, 92), (32, 23), (36, 123), (41, 10), (45, 112), (61, 137), (71, 65), (85, 123), (93, 91), (102, 30), (108, 100), (118, 101)]</t>
  </si>
  <si>
    <t>[(6, 32), (12, 153), (17, 9), (21, 72), (36, 124), (45, 102), (61, 94), (65, 10), (67, 65), (78, 45), (83, 123), (92, 86), (100, 40), (108, 108), (116, 94)]</t>
  </si>
  <si>
    <t>[(12, 114), (23, 82), (36, 106), (45, 83), (55, 32), (60, 85), (70, 79), (79, 46), (84, 148), (93, 65), (108, 124), (116, 88)]</t>
  </si>
  <si>
    <t>[(9, 40), (12, 108), (22, 55), (31, 18), (37, 84), (46, 75), (54, 36), (60, 115), (69, 87), (79, 31), (85, 115), (91, 81), (109, 117), (113, 10), (117, 84)]</t>
  </si>
  <si>
    <t>[(12, 130), (20, 96), (32, 36), (37, 82), (40, 14), (45, 89), (61, 98), (69, 72), (79, 34), (85, 88), (93, 65), (103, 54), (109, 141), (113, 14), (117, 86)]</t>
  </si>
  <si>
    <t>[(8, 31), (13, 125), (20, 95), (36, 113), (43, 123), (60, 103), (65, 7), (68, 69), (85, 119), (89, 14), (91, 82), (105, 29), (109, 120), (116, 96)]</t>
  </si>
  <si>
    <t>[(13, 146), (23, 94), (31, 33), (36, 117), (46, 92), (62, 94), (64, 14), (69, 95), (79, 14), (84, 135), (94, 90), (95, 12), (103, 41), (108, 108), (118, 67)]</t>
  </si>
  <si>
    <t>[(12, 101), (24, 49), (34, 32), (37, 108), (47, 80), (59, 108), (67, 12), (68, 89), (84, 100), (89, 4), (91, 78), (103, 44), (108, 111), (117, 95)]</t>
  </si>
  <si>
    <t>[(5, 27), (12, 110), (21, 84), (31, 31), (36, 71), (45, 61), (53, 34), (60, 100), (69, 83), (79, 15), (85, 86), (92, 67), (103, 38), (109, 43), (117, 81)]</t>
  </si>
  <si>
    <t>[(5, 29), (13, 125), (20, 98), (33, 31), (37, 101), (45, 70), (55, 27), (60, 122), (70, 69), (85, 117), (92, 77), (104, 38), (108, 118), (116, 77)]</t>
  </si>
  <si>
    <t>[(12, 129), (21, 74), (37, 105), (40, 12), (46, 76), (54, 31), (60, 100), (66, 11), (69, 75), (84, 59), (89, 10), (94, 80), (109, 109), (114, 61)]</t>
  </si>
  <si>
    <t>[(8, 39), (13, 145), (17, 12), (20, 103), (36, 84), (42, 8), (45, 110), (57, 41), (60, 116), (64, 8), (69, 86), (78, 40), (84, 89), (93, 71), (104, 35), (108, 46), (117, 79)]</t>
  </si>
  <si>
    <t>[(7, 26), (12, 121), (22, 83), (36, 107), (41, 14), (46, 100), (54, 28), (61, 72), (70, 86), (85, 125), (91, 81), (103, 36), (108, 127), (117, 67)]</t>
  </si>
  <si>
    <t>[(13, 97), (19, 101), (36, 122), (45, 63), (56, 39), (60, 80), (64, 9), (68, 74), (84, 130), (93, 64), (103, 36), (109, 91), (111, 13), (116, 97)]</t>
  </si>
  <si>
    <t>[(13, 124), (16, 8), (20, 72), (33, 34), (37, 66), (44, 90), (61, 109), (67, 135), (79, 29), (85, 94), (90, 6), (92, 86), (108, 87), (115, 93)]</t>
  </si>
  <si>
    <t>[(9, 25), (12, 85), (20, 65), (30, 22), (36, 135), (43, 96), (54, 26), (60, 113), (68, 57), (81, 33), (85, 108), (90, 12), (93, 52), (108, 91), (117, 87)]</t>
  </si>
  <si>
    <t>[(13, 102), (18, 11), (21, 87), (38, 112), (45, 56), (56, 23), (61, 76), (66, 14), (84, 120), (92, 51), (103, 27), (109, 103), (112, 11), (116, 87)]</t>
  </si>
  <si>
    <t>[(13, 112), (37, 48), (41, 15), (45, 62), (57, 41), (60, 98), (66, 12), (68, 98), (84, 104), (91, 14), (91, 53), (104, 46), (109, 84), (118, 99)]</t>
  </si>
  <si>
    <t>[(6, 41), (12, 103), (22, 115), (37, 122), (44, 78), (60, 110), (64, 11), (68, 68), (81, 24), (85, 133), (93, 39), (102, 36), (108, 115), (112, 8), (118, 95)]</t>
  </si>
  <si>
    <t>[(7, 32), (13, 110), (19, 108), (37, 108), (44, 85), (61, 111), (66, 8), (70, 95), (78, 37), (84, 80), (91, 54), (109, 80), (115, 64)]</t>
  </si>
  <si>
    <t>[(8, 39), (12, 26), (20, 52), (28, 27), (35, 76), (41, 9), (44, 84), (59, 29), (61, 117), (67, 88), (85, 120), (93, 77), (108, 88), (116, 57)]</t>
  </si>
  <si>
    <t>[(8, 38), (13, 122), (19, 10), (21, 49), (37, 80), (44, 81), (60, 69), (69, 109), (85, 81), (93, 86), (104, 22), (109, 96), (116, 66)]</t>
  </si>
  <si>
    <t>[(6, 28), (13, 97), (16, 12), (20, 81), (36, 115), (44, 89), (60, 78), (68, 86), (80, 24), (84, 87), (92, 104), (109, 101), (115, 71)]</t>
  </si>
  <si>
    <t>[(12, 93), (21, 86), (36, 107), (45, 92), (58, 40), (61, 82), (68, 77), (76, 10), (84, 55), (93, 62), (106, 38), (109, 122), (116, 57)]</t>
  </si>
  <si>
    <t>[(12, 99), (21, 105), (36, 121), (45, 53), (57, 36), (60, 79), (65, 11), (68, 52), (78, 36), (85, 100), (93, 95), (104, 45), (108, 122), (117, 85)]</t>
  </si>
  <si>
    <t>[(6, 33), (13, 93), (17, 13), (19, 64), (33, 17), (36, 101), (46, 66), (57, 33), (61, 92), (69, 102), (85, 135), (93, 86), (109, 162), (112, 11), (116, 62)]</t>
  </si>
  <si>
    <t>[(8, 21), (12, 82), (21, 54), (31, 25), (36, 88), (43, 83), (57, 19), (61, 87), (70, 76), (83, 73), (89, 13), (93, 80), (101, 27), (108, 88)]</t>
  </si>
  <si>
    <t>[(7, 26), (12, 120), (16, 12), (20, 68), (33, 30), (37, 87), (45, 85), (55, 20), (61, 91), (68, 101), (80, 38), (84, 109), (93, 69), (102, 24), (109, 104), (116, 82)]</t>
  </si>
  <si>
    <t>[(13, 130), (37, 110), (40, 12), (44, 106), (56, 30), (60, 146), (66, 15), (70, 67), (80, 29), (84, 110), (93, 54), (104, 31), (110, 72), (116, 12), (115, 64)]</t>
  </si>
  <si>
    <t>[(7, 38), (13, 98), (22, 58), (34, 32), (37, 82), (45, 51), (60, 86), (70, 65), (84, 95), (93, 75), (103, 31), (109, 126), (116, 76)]</t>
  </si>
  <si>
    <t>[(8, 38), (12, 134), (16, 14), (19, 56), (32, 36), (37, 129), (45, 64), (61, 90), (65, 10), (68, 89), (84, 37), (85, 92), (89, 4), (95, 50), (110, 103), (115, 97)]</t>
  </si>
  <si>
    <t>[(8, 25), (13, 126), (20, 50), (32, 32), (37, 64), (44, 70), (54, 26), (60, 102), (69, 80), (80, 39), (85, 87), (93, 65), (104, 46), (108, 67), (116, 123)]</t>
  </si>
  <si>
    <t>[(9, 23), (12, 121), (22, 75), (33, 42), (36, 104), (46, 81), (56, 21), (59, 114), (63, 10), (69, 41), (80, 37), (85, 118), (93, 93), (109, 84), (114, 11), (117, 77)]</t>
  </si>
  <si>
    <t>[(13, 144), (17, 10), (18, 101), (36, 116), (44, 106), (55, 45), (61, 112), (64, 14), (69, 64), (84, 128), (95, 121), (103, 35), (108, 92), (114, 87)]</t>
  </si>
  <si>
    <t>[(9, 27), (13, 75), (21, 98), (29, 25), (35, 94), (45, 114), (61, 87), (68, 103), (85, 102), (93, 82), (104, 46), (108, 93), (116, 75)]</t>
  </si>
  <si>
    <t>[(12, 120), (16, 10), (21, 85), (33, 39), (36, 100), (39, 14), (45, 82), (48, 12), (54, 33), (60, 101), (69, 75), (84, 111), (87, 14), (93, 49), (104, 32), (108, 144), (116, 36)]</t>
  </si>
  <si>
    <t>[(13, 92), (18, 11), (20, 79), (33, 33), (37, 95), (42, 12), (43, 80), (56, 38), (60, 121), (65, 10), (70, 70), (80, 34), (84, 96), (94, 66), (108, 109)]</t>
  </si>
  <si>
    <t>[(13, 73), (20, 104), (36, 116), (41, 14), (44, 85), (56, 30), (60, 142), (65, 11), (69, 88), (79, 35), (85, 89), (94, 116), (109, 111), (113, 11), (116, 62)]</t>
  </si>
  <si>
    <t>[(6, 39), (13, 72), (16, 12), (20, 116), (35, 84), (45, 59), (52, 40), (60, 115), (65, 8), (68, 83), (85, 117), (91, 108), (103, 20), (108, 75), (116, 89)]</t>
  </si>
  <si>
    <t>[(8, 42), (13, 66), (21, 75), (32, 30), (36, 80), (43, 9), (45, 102), (60, 70), (69, 97), (79, 39), (85, 57), (94, 110), (109, 95), (116, 67)]</t>
  </si>
  <si>
    <t>[(13, 157), (17, 5), (22, 73), (34, 23), (36, 132), (44, 85), (54, 40), (60, 131), (68, 97), (81, 33), (84, 149), (88, 13), (92, 85), (102, 45), (109, 113), (112, 15), (117, 71)]</t>
  </si>
  <si>
    <t>[(13, 104), (20, 84), (31, 24), (37, 113), (45, 90), (57, 31), (60, 106), (71, 79), (84, 91), (90, 84), (105, 27), (109, 107), (110, 9), (117, 102)]</t>
  </si>
  <si>
    <t>[(12, 49), (17, 13), (20, 48), (33, 45), (36, 76), (46, 107), (55, 40), (60, 118), (69, 85), (80, 30), (85, 92), (91, 72), (104, 41), (109, 63), (113, 11), (115, 79)]</t>
  </si>
  <si>
    <t>[(9, 37), (12, 142), (17, 8), (20, 93), (34, 33), (36, 88), (46, 83), (60, 95), (68, 85), (85, 79), (92, 43), (103, 47), (108, 65), (117, 74)]</t>
  </si>
  <si>
    <t>[(12, 94), (20, 109), (38, 131), (46, 70), (60, 70), (69, 65), (77, 31), (85, 103), (95, 97), (104, 43), (108, 76), (112, 11), (117, 75)]</t>
  </si>
  <si>
    <t>[(8, 28), (13, 90), (21, 90), (30, 32), (37, 92), (44, 101), (61, 90), (68, 96), (77, 27), (85, 95), (88, 9), (91, 85), (109, 134), (116, 83)]</t>
  </si>
  <si>
    <t>[(5, 45), (13, 90), (17, 6), (20, 93), (32, 30), (36, 117), (44, 102), (61, 112), (65, 14), (70, 85), (84, 106), (89, 11), (95, 52), (109, 100), (117, 97)]</t>
  </si>
  <si>
    <t>[(13, 108), (21, 63), (32, 43), (37, 114), (39, 12), (44, 69), (53, 26), (61, 121), (64, 11), (69, 78), (81, 20), (84, 104), (94, 102), (106, 41), (108, 142)]</t>
  </si>
  <si>
    <t>[(13, 106), (19, 77), (30, 33), (37, 101), (46, 81), (61, 84), (70, 58), (80, 33), (84, 112), (93, 62), (104, 36), (108, 139), (116, 111)]</t>
  </si>
  <si>
    <t>[(7, 35), (13, 134), (21, 77), (36, 75), (44, 83), (60, 84), (68, 84), (81, 45), (84, 115), (88, 13), (92, 52), (105, 32), (108, 102)]</t>
  </si>
  <si>
    <t>[(12, 120), (16, 9), (21, 73), (32, 23), (36, 109), (41, 12), (44, 81), (61, 64), (65, 11), (68, 76), (78, 34), (85, 100), (92, 88), (104, 27), (109, 109), (113, 10), (117, 97)]</t>
  </si>
  <si>
    <t>[(6, 22), (12, 94), (21, 75), (37, 80), (41, 19), (43, 64), (53, 35), (61, 117), (69, 44), (81, 33), (85, 147), (88, 13), (91, 77), (109, 106), (117, 119)]</t>
  </si>
  <si>
    <t>[(12, 70), (20, 100), (36, 93), (44, 55), (60, 70), (67, 55), (79, 23), (85, 140), (93, 79), (102, 35), (108, 64), (113, 15), (117, 82)]</t>
  </si>
  <si>
    <t>[(12, 75), (20, 108), (33, 26), (36, 135), (44, 127), (56, 31), (60, 95), (65, 9), (71, 56), (84, 94), (88, 12), (91, 83), (105, 17), (109, 107), (111, 12), (117, 55)]</t>
  </si>
  <si>
    <t>[(12, 126), (16, 11), (20, 107), (36, 110), (42, 80), (61, 92), (70, 79), (80, 36), (84, 87), (109, 59), (111, 11), (116, 54)]</t>
  </si>
  <si>
    <t>[(12, 127), (22, 51), (36, 91), (46, 89), (55, 38), (61, 97), (66, 78), (80, 33), (84, 85), (89, 12), (93, 79), (108, 97), (114, 50), (119, 11)]</t>
  </si>
  <si>
    <t>[(10, 41), (12, 119), (19, 65), (36, 87), (46, 71), (52, 38), (61, 91), (70, 69), (80, 27), (85, 66), (89, 17), (92, 69), (108, 110), (116, 36)]</t>
  </si>
  <si>
    <t>[(6, 48), (13, 82), (20, 67), (36, 117), (45, 77), (57, 41), (61, 123), (69, 92), (85, 109), (93, 99), (109, 124), (116, 64)]</t>
  </si>
  <si>
    <t>[(13, 70), (20, 74), (36, 108), (43, 84), (53, 41), (60, 100), (70, 53), (80, 28), (85, 106), (89, 12), (92, 89), (104, 25), (110, 103), (116, 95)]</t>
  </si>
  <si>
    <t>[(6, 38), (13, 91), (20, 99), (37, 72), (42, 11), (45, 103), (60, 86), (69, 81), (85, 85), (94, 67), (104, 33), (108, 71), (118, 95)]</t>
  </si>
  <si>
    <t>[(10, 39), (13, 130), (21, 93), (36, 100), (40, 13), (44, 78), (61, 80), (63, 10), (67, 78), (80, 29), (84, 127), (88, 11), (103, 20), (109, 63), (115, 93)]</t>
  </si>
  <si>
    <t>[(13, 108), (15, 12), (21, 103), (32, 41), (37, 118), (43, 11), (44, 92), (56, 29), (61, 116), (64, 14), (69, 97), (78, 36), (85, 80), (91, 72), (108, 98)]</t>
  </si>
  <si>
    <t>[(13, 68), (20, 128), (37, 103), (44, 82), (61, 141), (69, 79), (85, 92), (93, 111), (108, 79), (113, 11), (117, 92)]</t>
  </si>
  <si>
    <t>[(13, 85), (20, 93), (30, 44), (37, 101), (45, 75), (61, 90), (85, 109), (87, 14), (93, 88), (103, 37), (109, 81), (116, 100)]</t>
  </si>
  <si>
    <t>[(13, 108), (17, 14), (22, 95), (30, 25), (36, 159), (44, 58), (57, 40), (61, 127), (64, 10), (69, 76), (80, 11), (85, 128), (103, 21), (109, 109), (113, 9), (117, 74)]</t>
  </si>
  <si>
    <t>[(7, 31), (12, 112), (21, 61), (37, 95), (42, 51), (56, 25), (61, 96), (64, 12), (68, 104), (85, 92), (89, 8), (108, 109), (116, 82)]</t>
  </si>
  <si>
    <t>[(6, 37), (13, 145), (31, 38), (37, 112), (44, 86), (53, 30), (61, 54), (70, 69), (81, 44), (85, 71), (92, 90), (101, 28), (109, 64), (113, 10), (115, 63)]</t>
  </si>
  <si>
    <t>[(8, 37), (13, 148), (32, 30), (36, 117), (41, 12), (45, 113), (61, 53), (68, 80), (78, 31), (84, 77), (92, 100), (109, 120), (116, 73)]</t>
  </si>
  <si>
    <t>[(13, 93), (20, 91), (34, 41), (37, 104), (44, 99), (57, 23), (61, 96), (68, 67), (85, 102), (92, 89), (109, 86), (116, 94)]</t>
  </si>
  <si>
    <t>[(7, 44), (13, 119), (21, 59), (30, 28), (37, 85), (41, 7), (44, 79), (55, 35), (61, 93), (69, 106), (78, 31), (84, 103), (89, 10), (91, 48), (110, 105)]</t>
  </si>
  <si>
    <t>[(9, 32), (13, 115), (16, 17), (20, 86), (33, 32), (37, 89), (42, 11), (45, 70), (54, 43), (61, 129), (69, 66), (84, 93), (89, 7), (92, 83), (108, 125), (118, 45)]</t>
  </si>
  <si>
    <t>[(13, 90), (21, 69), (36, 87), (44, 87), (56, 38), (61, 113), (70, 52), (78, 38), (84, 125), (91, 96), (109, 94), (117, 63)]</t>
  </si>
  <si>
    <t>[(12, 107), (17, 13), (20, 101), (36, 87), (42, 12), (44, 63), (60, 85), (68, 84), (79, 30), (85, 114), (89, 12), (94, 90), (108, 147), (112, 14), (116, 87)]</t>
  </si>
  <si>
    <t>[(7, 28), (13, 85), (17, 9), (21, 77), (36, 97), (41, 9), (43, 81), (60, 87), (67, 63), (80, 27), (86, 137), (93, 85), (102, 25), (108, 94), (117, 59)]</t>
  </si>
  <si>
    <t>[(8, 26), (13, 89), (33, 37), (36, 82), (41, 12), (45, 74), (46, 6), (56, 36), (61, 130), (65, 9), (68, 72), (79, 32), (85, 49), (91, 129), (105, 38), (109, 143), (116, 29)]</t>
  </si>
  <si>
    <t>[(12, 160), (17, 12), (19, 67), (36, 65), (39, 7), (44, 76), (56, 32), (60, 140), (69, 61), (78, 41), (84, 145), (94, 105), (103, 46), (108, 100), (113, 10), (115, 102)]</t>
  </si>
  <si>
    <t>[(7, 32), (13, 109), (38, 104), (44, 88), (52, 40), (60, 57), (69, 70), (79, 35), (84, 100), (88, 10), (93, 51), (109, 94), (116, 80)]</t>
  </si>
  <si>
    <t>[(9, 45), (13, 111), (21, 58), (33, 38), (36, 106), (45, 69), (60, 119), (63, 12), (69, 80), (77, 41), (85, 99), (92, 90), (105, 22), (108, 105), (115, 64)]</t>
  </si>
  <si>
    <t>[(12, 106), (21, 72), (30, 47), (36, 128), (44, 83), (55, 33), (60, 102), (64, 10), (70, 92), (84, 89), (94, 93), (109, 107), (117, 80)]</t>
  </si>
  <si>
    <t>[(5, 36), (13, 146), (16, 11), (21, 67), (36, 86), (44, 85), (60, 132), (68, 65), (80, 34), (85, 79), (92, 74), (104, 27), (108, 93), (117, 44)]</t>
  </si>
  <si>
    <t>[(6, 34), (12, 108), (15, 9), (21, 95), (37, 147), (45, 98), (54, 38), (61, 89), (64, 8), (68, 94), (79, 39), (83, 93), (95, 95), (109, 149), (111, 12), (117, 100)]</t>
  </si>
  <si>
    <t>[(12, 102), (20, 77), (37, 86), (45, 94), (57, 38), (60, 50), (64, 9), (69, 52), (79, 45), (84, 82), (94, 93), (104, 39), (108, 84), (118, 88)]</t>
  </si>
  <si>
    <t>[(7, 32), (13, 132), (20, 93), (36, 99), (43, 85), (61, 85), (70, 87), (79, 38), (83, 52), (92, 60), (108, 25), (108, 92), (117, 93)]</t>
  </si>
  <si>
    <t>paziente</t>
  </si>
  <si>
    <t>death hypo mean</t>
  </si>
  <si>
    <t>death hypo st dev</t>
  </si>
  <si>
    <t>ultra hypo mean</t>
  </si>
  <si>
    <t>ultra hypo st dev</t>
  </si>
  <si>
    <t>heavy hypo mean</t>
  </si>
  <si>
    <t>heavy hypo st dev</t>
  </si>
  <si>
    <t>severe hypo mean</t>
  </si>
  <si>
    <t>severe hypo st dev</t>
  </si>
  <si>
    <t>hypo mean</t>
  </si>
  <si>
    <t>hypo st dev</t>
  </si>
  <si>
    <t>time in range mean</t>
  </si>
  <si>
    <t>time in range st dev</t>
  </si>
  <si>
    <t>hyper mean</t>
  </si>
  <si>
    <t>hyper st dev</t>
  </si>
  <si>
    <t>severe hyper mean</t>
  </si>
  <si>
    <t>severe hyper st dev</t>
  </si>
  <si>
    <t>heavy hyper mean</t>
  </si>
  <si>
    <t>heavy hyper st dev</t>
  </si>
  <si>
    <t>ultra hyper mean</t>
  </si>
  <si>
    <t>ultra hyper st dev</t>
  </si>
  <si>
    <t>death hyper mean</t>
  </si>
  <si>
    <t>death hyper st dev</t>
  </si>
  <si>
    <t>reward mean</t>
  </si>
  <si>
    <t>reward st dev</t>
  </si>
  <si>
    <t>LBGI mean of means</t>
  </si>
  <si>
    <t>LBGI mean of std</t>
  </si>
  <si>
    <t>HBGI mean of means</t>
  </si>
  <si>
    <t>HBGI mean of std</t>
  </si>
  <si>
    <t>RI mean of means</t>
  </si>
  <si>
    <t>RI mean of std</t>
  </si>
  <si>
    <t>cap iper mean</t>
  </si>
  <si>
    <t>cap ipo mean</t>
  </si>
  <si>
    <t>soglia iper mean</t>
  </si>
  <si>
    <t>soglia ipo mean</t>
  </si>
  <si>
    <t>ripetizioni</t>
  </si>
  <si>
    <t>start time</t>
  </si>
  <si>
    <t>adolescent#001</t>
  </si>
  <si>
    <t>0.12</t>
  </si>
  <si>
    <t>0.06</t>
  </si>
  <si>
    <t>5_days_1000_times</t>
  </si>
  <si>
    <t>adolescent#002</t>
  </si>
  <si>
    <t>0.11</t>
  </si>
  <si>
    <t>adolescent#003</t>
  </si>
  <si>
    <t>adolescent#004</t>
  </si>
  <si>
    <t>0.07</t>
  </si>
  <si>
    <t>adolescent#005</t>
  </si>
  <si>
    <t>adolescent#006</t>
  </si>
  <si>
    <t>adolescent#007</t>
  </si>
  <si>
    <t>adolescent#008</t>
  </si>
  <si>
    <t>adolescent#009</t>
  </si>
  <si>
    <t>adolescent#010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</si>
</sst>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1"/>
  <sheetViews>
    <sheetView workbookViewId="0"/>
  </sheetViews>
  <sheetFormatPr defaultRowHeight="14.4" x14ac:dyDescent="0.3"/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11.25</v>
      </c>
      <c r="B2">
        <v>3.416666666666667</v>
      </c>
      <c r="C2">
        <v>4.25</v>
      </c>
      <c r="D2">
        <v>5.3333333333333339</v>
      </c>
      <c r="E2">
        <v>7.7083333333333339</v>
      </c>
      <c r="F2">
        <v>37.291666666666657</v>
      </c>
      <c r="G2">
        <v>14.45833333333333</v>
      </c>
      <c r="H2">
        <v>15.41666666666667</v>
      </c>
      <c r="I2">
        <v>0.87500000000000011</v>
      </c>
      <c r="J2">
        <v>0</v>
      </c>
      <c r="K2">
        <v>0</v>
      </c>
      <c r="L2">
        <v>-1937.4479626406551</v>
      </c>
      <c r="M2">
        <v>38.045776705754527</v>
      </c>
      <c r="N2">
        <v>39.284670270170508</v>
      </c>
      <c r="O2">
        <v>17.34345431682528</v>
      </c>
      <c r="P2">
        <v>16.166406518686411</v>
      </c>
      <c r="Q2">
        <v>55.389231022579807</v>
      </c>
      <c r="R2">
        <v>42.48103127236255</v>
      </c>
      <c r="S2" t="s">
        <v>29</v>
      </c>
      <c r="T2" t="s">
        <v>30</v>
      </c>
      <c r="U2">
        <v>165</v>
      </c>
      <c r="V2">
        <v>90</v>
      </c>
      <c r="W2" t="s">
        <v>31</v>
      </c>
      <c r="X2">
        <v>1024</v>
      </c>
      <c r="Y2">
        <v>1024</v>
      </c>
      <c r="Z2">
        <v>2400</v>
      </c>
      <c r="AA2">
        <v>1</v>
      </c>
      <c r="AB2" t="s">
        <v>32</v>
      </c>
      <c r="AC2">
        <v>20.656207084655762</v>
      </c>
    </row>
    <row r="3" spans="1:29" x14ac:dyDescent="0.3">
      <c r="A3">
        <v>8.4583333333333321</v>
      </c>
      <c r="B3">
        <v>3.458333333333333</v>
      </c>
      <c r="C3">
        <v>2.333333333333333</v>
      </c>
      <c r="D3">
        <v>4</v>
      </c>
      <c r="E3">
        <v>9.375</v>
      </c>
      <c r="F3">
        <v>45.041666666666671</v>
      </c>
      <c r="G3">
        <v>12.41666666666667</v>
      </c>
      <c r="H3">
        <v>12.25</v>
      </c>
      <c r="I3">
        <v>1.958333333333333</v>
      </c>
      <c r="J3">
        <v>0.70833333333333326</v>
      </c>
      <c r="K3">
        <v>0</v>
      </c>
      <c r="L3">
        <v>-1610.349000106992</v>
      </c>
      <c r="M3">
        <v>33.026325393898517</v>
      </c>
      <c r="N3">
        <v>37.922855764646869</v>
      </c>
      <c r="O3">
        <v>16.707973804075429</v>
      </c>
      <c r="P3">
        <v>19.458009554759581</v>
      </c>
      <c r="Q3">
        <v>49.734299197973947</v>
      </c>
      <c r="R3">
        <v>42.623433990931858</v>
      </c>
      <c r="S3" t="s">
        <v>29</v>
      </c>
      <c r="T3" t="s">
        <v>30</v>
      </c>
      <c r="U3">
        <v>165</v>
      </c>
      <c r="V3">
        <v>90</v>
      </c>
      <c r="W3" t="s">
        <v>31</v>
      </c>
      <c r="X3">
        <v>1024</v>
      </c>
      <c r="Y3">
        <v>1024</v>
      </c>
      <c r="Z3">
        <v>2400</v>
      </c>
      <c r="AA3">
        <v>2</v>
      </c>
      <c r="AB3" t="s">
        <v>33</v>
      </c>
      <c r="AC3">
        <v>20.625519990921021</v>
      </c>
    </row>
    <row r="4" spans="1:29" x14ac:dyDescent="0.3">
      <c r="A4">
        <v>8.375</v>
      </c>
      <c r="B4">
        <v>5.541666666666667</v>
      </c>
      <c r="C4">
        <v>5.125</v>
      </c>
      <c r="D4">
        <v>4.5</v>
      </c>
      <c r="E4">
        <v>8.25</v>
      </c>
      <c r="F4">
        <v>35</v>
      </c>
      <c r="G4">
        <v>13.33333333333333</v>
      </c>
      <c r="H4">
        <v>17.5</v>
      </c>
      <c r="I4">
        <v>2.375</v>
      </c>
      <c r="J4">
        <v>0</v>
      </c>
      <c r="K4">
        <v>0</v>
      </c>
      <c r="L4">
        <v>-1741.54594177748</v>
      </c>
      <c r="M4">
        <v>39.903358629048682</v>
      </c>
      <c r="N4">
        <v>37.263932200855592</v>
      </c>
      <c r="O4">
        <v>18.66538394435031</v>
      </c>
      <c r="P4">
        <v>18.28199574644982</v>
      </c>
      <c r="Q4">
        <v>58.568742573398993</v>
      </c>
      <c r="R4">
        <v>41.507011594948281</v>
      </c>
      <c r="S4" t="s">
        <v>29</v>
      </c>
      <c r="T4" t="s">
        <v>30</v>
      </c>
      <c r="U4">
        <v>165</v>
      </c>
      <c r="V4">
        <v>90</v>
      </c>
      <c r="W4" t="s">
        <v>31</v>
      </c>
      <c r="X4">
        <v>1024</v>
      </c>
      <c r="Y4">
        <v>1024</v>
      </c>
      <c r="Z4">
        <v>2400</v>
      </c>
      <c r="AA4">
        <v>3</v>
      </c>
      <c r="AB4" t="s">
        <v>34</v>
      </c>
      <c r="AC4">
        <v>20.5434103012085</v>
      </c>
    </row>
    <row r="5" spans="1:29" x14ac:dyDescent="0.3">
      <c r="A5">
        <v>6.041666666666667</v>
      </c>
      <c r="B5">
        <v>4.5</v>
      </c>
      <c r="C5">
        <v>3.375</v>
      </c>
      <c r="D5">
        <v>4.3333333333333339</v>
      </c>
      <c r="E5">
        <v>8.2916666666666661</v>
      </c>
      <c r="F5">
        <v>44.916666666666657</v>
      </c>
      <c r="G5">
        <v>15.5</v>
      </c>
      <c r="H5">
        <v>12.54166666666667</v>
      </c>
      <c r="I5">
        <v>0.5</v>
      </c>
      <c r="J5">
        <v>0</v>
      </c>
      <c r="K5">
        <v>0</v>
      </c>
      <c r="L5">
        <v>-466.40144084252478</v>
      </c>
      <c r="M5">
        <v>31.740706066482609</v>
      </c>
      <c r="N5">
        <v>35.322513326810949</v>
      </c>
      <c r="O5">
        <v>14.666578194418751</v>
      </c>
      <c r="P5">
        <v>16.434340499945939</v>
      </c>
      <c r="Q5">
        <v>46.407284260901349</v>
      </c>
      <c r="R5">
        <v>38.958535590944642</v>
      </c>
      <c r="S5" t="s">
        <v>29</v>
      </c>
      <c r="T5" t="s">
        <v>30</v>
      </c>
      <c r="U5">
        <v>165</v>
      </c>
      <c r="V5">
        <v>90</v>
      </c>
      <c r="W5" t="s">
        <v>31</v>
      </c>
      <c r="X5">
        <v>1024</v>
      </c>
      <c r="Y5">
        <v>1024</v>
      </c>
      <c r="Z5">
        <v>2400</v>
      </c>
      <c r="AA5">
        <v>4</v>
      </c>
      <c r="AB5" t="s">
        <v>35</v>
      </c>
      <c r="AC5">
        <v>20.753149509429932</v>
      </c>
    </row>
    <row r="6" spans="1:29" x14ac:dyDescent="0.3">
      <c r="A6">
        <v>7.625</v>
      </c>
      <c r="B6">
        <v>5.166666666666667</v>
      </c>
      <c r="C6">
        <v>6.041666666666667</v>
      </c>
      <c r="D6">
        <v>5.0416666666666661</v>
      </c>
      <c r="E6">
        <v>6.041666666666667</v>
      </c>
      <c r="F6">
        <v>37.375</v>
      </c>
      <c r="G6">
        <v>14.16666666666667</v>
      </c>
      <c r="H6">
        <v>15.58333333333333</v>
      </c>
      <c r="I6">
        <v>2.958333333333333</v>
      </c>
      <c r="J6">
        <v>0</v>
      </c>
      <c r="K6">
        <v>0</v>
      </c>
      <c r="L6">
        <v>-1839.1243597039111</v>
      </c>
      <c r="M6">
        <v>36.072442876939967</v>
      </c>
      <c r="N6">
        <v>36.584168106294968</v>
      </c>
      <c r="O6">
        <v>18.471613254242008</v>
      </c>
      <c r="P6">
        <v>17.83987852473668</v>
      </c>
      <c r="Q6">
        <v>54.544056131181982</v>
      </c>
      <c r="R6">
        <v>40.702120605774482</v>
      </c>
      <c r="S6" t="s">
        <v>29</v>
      </c>
      <c r="T6" t="s">
        <v>30</v>
      </c>
      <c r="U6">
        <v>165</v>
      </c>
      <c r="V6">
        <v>90</v>
      </c>
      <c r="W6" t="s">
        <v>31</v>
      </c>
      <c r="X6">
        <v>1024</v>
      </c>
      <c r="Y6">
        <v>1024</v>
      </c>
      <c r="Z6">
        <v>2400</v>
      </c>
      <c r="AA6">
        <v>5</v>
      </c>
      <c r="AB6" t="s">
        <v>36</v>
      </c>
      <c r="AC6">
        <v>20.330229997634891</v>
      </c>
    </row>
    <row r="7" spans="1:29" x14ac:dyDescent="0.3">
      <c r="A7">
        <v>6.916666666666667</v>
      </c>
      <c r="B7">
        <v>3</v>
      </c>
      <c r="C7">
        <v>4.9166666666666661</v>
      </c>
      <c r="D7">
        <v>4.291666666666667</v>
      </c>
      <c r="E7">
        <v>7.7083333333333339</v>
      </c>
      <c r="F7">
        <v>40.041666666666657</v>
      </c>
      <c r="G7">
        <v>17.708333333333339</v>
      </c>
      <c r="H7">
        <v>15.41666666666667</v>
      </c>
      <c r="I7">
        <v>0</v>
      </c>
      <c r="J7">
        <v>0</v>
      </c>
      <c r="K7">
        <v>0</v>
      </c>
      <c r="L7">
        <v>-9.9493049490220073</v>
      </c>
      <c r="M7">
        <v>33.62802958324405</v>
      </c>
      <c r="N7">
        <v>36.247440178002051</v>
      </c>
      <c r="O7">
        <v>14.173014928673201</v>
      </c>
      <c r="P7">
        <v>13.1643094369928</v>
      </c>
      <c r="Q7">
        <v>47.801044511917247</v>
      </c>
      <c r="R7">
        <v>38.563920475111637</v>
      </c>
      <c r="S7" t="s">
        <v>29</v>
      </c>
      <c r="T7" t="s">
        <v>30</v>
      </c>
      <c r="U7">
        <v>165</v>
      </c>
      <c r="V7">
        <v>90</v>
      </c>
      <c r="W7" t="s">
        <v>31</v>
      </c>
      <c r="X7">
        <v>1024</v>
      </c>
      <c r="Y7">
        <v>1024</v>
      </c>
      <c r="Z7">
        <v>2400</v>
      </c>
      <c r="AA7">
        <v>6</v>
      </c>
      <c r="AB7" t="s">
        <v>37</v>
      </c>
      <c r="AC7">
        <v>20.931366682052609</v>
      </c>
    </row>
    <row r="8" spans="1:29" x14ac:dyDescent="0.3">
      <c r="A8">
        <v>3.541666666666667</v>
      </c>
      <c r="B8">
        <v>4</v>
      </c>
      <c r="C8">
        <v>4.5</v>
      </c>
      <c r="D8">
        <v>4.375</v>
      </c>
      <c r="E8">
        <v>8.0833333333333321</v>
      </c>
      <c r="F8">
        <v>41.916666666666671</v>
      </c>
      <c r="G8">
        <v>17.083333333333329</v>
      </c>
      <c r="H8">
        <v>16.5</v>
      </c>
      <c r="I8">
        <v>0</v>
      </c>
      <c r="J8">
        <v>0</v>
      </c>
      <c r="K8">
        <v>0</v>
      </c>
      <c r="L8">
        <v>43.348732614546861</v>
      </c>
      <c r="M8">
        <v>26.102205635978429</v>
      </c>
      <c r="N8">
        <v>31.412233867087721</v>
      </c>
      <c r="O8">
        <v>16.290274455066989</v>
      </c>
      <c r="P8">
        <v>15.706061895419779</v>
      </c>
      <c r="Q8">
        <v>42.392480091045407</v>
      </c>
      <c r="R8">
        <v>35.119920512201759</v>
      </c>
      <c r="S8" t="s">
        <v>29</v>
      </c>
      <c r="T8" t="s">
        <v>30</v>
      </c>
      <c r="U8">
        <v>165</v>
      </c>
      <c r="V8">
        <v>90</v>
      </c>
      <c r="W8" t="s">
        <v>31</v>
      </c>
      <c r="X8">
        <v>1024</v>
      </c>
      <c r="Y8">
        <v>1024</v>
      </c>
      <c r="Z8">
        <v>2400</v>
      </c>
      <c r="AA8">
        <v>7</v>
      </c>
      <c r="AB8" t="s">
        <v>38</v>
      </c>
      <c r="AC8">
        <v>20.624709367752079</v>
      </c>
    </row>
    <row r="9" spans="1:29" x14ac:dyDescent="0.3">
      <c r="A9">
        <v>6.166666666666667</v>
      </c>
      <c r="B9">
        <v>6.166666666666667</v>
      </c>
      <c r="C9">
        <v>4.541666666666667</v>
      </c>
      <c r="D9">
        <v>3.25</v>
      </c>
      <c r="E9">
        <v>7.208333333333333</v>
      </c>
      <c r="F9">
        <v>40.916666666666671</v>
      </c>
      <c r="G9">
        <v>17.958333333333339</v>
      </c>
      <c r="H9">
        <v>13.79166666666667</v>
      </c>
      <c r="I9">
        <v>0</v>
      </c>
      <c r="J9">
        <v>0</v>
      </c>
      <c r="K9">
        <v>0</v>
      </c>
      <c r="L9">
        <v>-624.88553325379394</v>
      </c>
      <c r="M9">
        <v>34.889604903192712</v>
      </c>
      <c r="N9">
        <v>36.417657007003108</v>
      </c>
      <c r="O9">
        <v>13.78376620338962</v>
      </c>
      <c r="P9">
        <v>12.75129619596216</v>
      </c>
      <c r="Q9">
        <v>48.67337110658233</v>
      </c>
      <c r="R9">
        <v>38.585506301678627</v>
      </c>
      <c r="S9" t="s">
        <v>29</v>
      </c>
      <c r="T9" t="s">
        <v>30</v>
      </c>
      <c r="U9">
        <v>165</v>
      </c>
      <c r="V9">
        <v>90</v>
      </c>
      <c r="W9" t="s">
        <v>31</v>
      </c>
      <c r="X9">
        <v>1024</v>
      </c>
      <c r="Y9">
        <v>1024</v>
      </c>
      <c r="Z9">
        <v>2400</v>
      </c>
      <c r="AA9">
        <v>8</v>
      </c>
      <c r="AB9" t="s">
        <v>39</v>
      </c>
      <c r="AC9">
        <v>20.528095483779911</v>
      </c>
    </row>
    <row r="10" spans="1:29" x14ac:dyDescent="0.3">
      <c r="A10">
        <v>6.166666666666667</v>
      </c>
      <c r="B10">
        <v>3.208333333333333</v>
      </c>
      <c r="C10">
        <v>3.791666666666667</v>
      </c>
      <c r="D10">
        <v>4.25</v>
      </c>
      <c r="E10">
        <v>9.625</v>
      </c>
      <c r="F10">
        <v>41.166666666666671</v>
      </c>
      <c r="G10">
        <v>15.66666666666667</v>
      </c>
      <c r="H10">
        <v>14.75</v>
      </c>
      <c r="I10">
        <v>1.375</v>
      </c>
      <c r="J10">
        <v>0</v>
      </c>
      <c r="K10">
        <v>0</v>
      </c>
      <c r="L10">
        <v>54.908563318908818</v>
      </c>
      <c r="M10">
        <v>28.81062160066206</v>
      </c>
      <c r="N10">
        <v>34.694189611897627</v>
      </c>
      <c r="O10">
        <v>16.048722734671909</v>
      </c>
      <c r="P10">
        <v>15.61767529989678</v>
      </c>
      <c r="Q10">
        <v>44.859344335333972</v>
      </c>
      <c r="R10">
        <v>38.04732020260181</v>
      </c>
      <c r="S10" t="s">
        <v>29</v>
      </c>
      <c r="T10" t="s">
        <v>30</v>
      </c>
      <c r="U10">
        <v>165</v>
      </c>
      <c r="V10">
        <v>90</v>
      </c>
      <c r="W10" t="s">
        <v>31</v>
      </c>
      <c r="X10">
        <v>1024</v>
      </c>
      <c r="Y10">
        <v>1024</v>
      </c>
      <c r="Z10">
        <v>2400</v>
      </c>
      <c r="AA10">
        <v>9</v>
      </c>
      <c r="AB10" t="s">
        <v>40</v>
      </c>
      <c r="AC10">
        <v>20.369451284408569</v>
      </c>
    </row>
    <row r="11" spans="1:29" x14ac:dyDescent="0.3">
      <c r="A11">
        <v>1.416666666666667</v>
      </c>
      <c r="B11">
        <v>2.791666666666667</v>
      </c>
      <c r="C11">
        <v>5.3333333333333339</v>
      </c>
      <c r="D11">
        <v>6.4166666666666661</v>
      </c>
      <c r="E11">
        <v>9.4583333333333339</v>
      </c>
      <c r="F11">
        <v>38.083333333333343</v>
      </c>
      <c r="G11">
        <v>21.041666666666671</v>
      </c>
      <c r="H11">
        <v>11.70833333333333</v>
      </c>
      <c r="I11">
        <v>2.375</v>
      </c>
      <c r="J11">
        <v>1.375</v>
      </c>
      <c r="K11">
        <v>0</v>
      </c>
      <c r="L11">
        <v>-620.93822678151332</v>
      </c>
      <c r="M11">
        <v>23.22457101414836</v>
      </c>
      <c r="N11">
        <v>25.660288999429721</v>
      </c>
      <c r="O11">
        <v>17.787691716658941</v>
      </c>
      <c r="P11">
        <v>19.454467563852099</v>
      </c>
      <c r="Q11">
        <v>41.012262730807308</v>
      </c>
      <c r="R11">
        <v>32.201346862006062</v>
      </c>
      <c r="S11" t="s">
        <v>29</v>
      </c>
      <c r="T11" t="s">
        <v>30</v>
      </c>
      <c r="U11">
        <v>165</v>
      </c>
      <c r="V11">
        <v>90</v>
      </c>
      <c r="W11" t="s">
        <v>31</v>
      </c>
      <c r="X11">
        <v>1024</v>
      </c>
      <c r="Y11">
        <v>1024</v>
      </c>
      <c r="Z11">
        <v>2400</v>
      </c>
      <c r="AA11">
        <v>10</v>
      </c>
      <c r="AB11" t="s">
        <v>41</v>
      </c>
      <c r="AC11">
        <v>20.73351073265076</v>
      </c>
    </row>
    <row r="12" spans="1:29" x14ac:dyDescent="0.3">
      <c r="A12">
        <v>6.25</v>
      </c>
      <c r="B12">
        <v>3.791666666666667</v>
      </c>
      <c r="C12">
        <v>2.833333333333333</v>
      </c>
      <c r="D12">
        <v>5.291666666666667</v>
      </c>
      <c r="E12">
        <v>12.29166666666667</v>
      </c>
      <c r="F12">
        <v>37.166666666666657</v>
      </c>
      <c r="G12">
        <v>14.04166666666667</v>
      </c>
      <c r="H12">
        <v>15.95833333333333</v>
      </c>
      <c r="I12">
        <v>1.208333333333333</v>
      </c>
      <c r="J12">
        <v>1.166666666666667</v>
      </c>
      <c r="K12">
        <v>0</v>
      </c>
      <c r="L12">
        <v>-942.48374145072353</v>
      </c>
      <c r="M12">
        <v>30.40737115139563</v>
      </c>
      <c r="N12">
        <v>34.428909191186378</v>
      </c>
      <c r="O12">
        <v>17.932904619748239</v>
      </c>
      <c r="P12">
        <v>18.54219051683231</v>
      </c>
      <c r="Q12">
        <v>48.340275771143872</v>
      </c>
      <c r="R12">
        <v>39.104508912112223</v>
      </c>
      <c r="S12" t="s">
        <v>29</v>
      </c>
      <c r="T12" t="s">
        <v>30</v>
      </c>
      <c r="U12">
        <v>165</v>
      </c>
      <c r="V12">
        <v>90</v>
      </c>
      <c r="W12" t="s">
        <v>31</v>
      </c>
      <c r="X12">
        <v>1024</v>
      </c>
      <c r="Y12">
        <v>1024</v>
      </c>
      <c r="Z12">
        <v>2400</v>
      </c>
      <c r="AA12">
        <v>11</v>
      </c>
      <c r="AB12" t="s">
        <v>42</v>
      </c>
      <c r="AC12">
        <v>20.535254716873169</v>
      </c>
    </row>
    <row r="13" spans="1:29" x14ac:dyDescent="0.3">
      <c r="A13">
        <v>5.0416666666666661</v>
      </c>
      <c r="B13">
        <v>4.5</v>
      </c>
      <c r="C13">
        <v>4.9166666666666661</v>
      </c>
      <c r="D13">
        <v>5.2083333333333339</v>
      </c>
      <c r="E13">
        <v>9.7916666666666661</v>
      </c>
      <c r="F13">
        <v>36.041666666666657</v>
      </c>
      <c r="G13">
        <v>15.20833333333333</v>
      </c>
      <c r="H13">
        <v>16.75</v>
      </c>
      <c r="I13">
        <v>2.541666666666667</v>
      </c>
      <c r="J13">
        <v>0</v>
      </c>
      <c r="K13">
        <v>0</v>
      </c>
      <c r="L13">
        <v>-1423.516247979758</v>
      </c>
      <c r="M13">
        <v>32.966189466683012</v>
      </c>
      <c r="N13">
        <v>34.129144666471952</v>
      </c>
      <c r="O13">
        <v>18.73545597922271</v>
      </c>
      <c r="P13">
        <v>18.132847435044571</v>
      </c>
      <c r="Q13">
        <v>51.701645445905733</v>
      </c>
      <c r="R13">
        <v>38.647104312840483</v>
      </c>
      <c r="S13" t="s">
        <v>29</v>
      </c>
      <c r="T13" t="s">
        <v>30</v>
      </c>
      <c r="U13">
        <v>165</v>
      </c>
      <c r="V13">
        <v>90</v>
      </c>
      <c r="W13" t="s">
        <v>31</v>
      </c>
      <c r="X13">
        <v>1024</v>
      </c>
      <c r="Y13">
        <v>1024</v>
      </c>
      <c r="Z13">
        <v>2400</v>
      </c>
      <c r="AA13">
        <v>12</v>
      </c>
      <c r="AB13" t="s">
        <v>43</v>
      </c>
      <c r="AC13">
        <v>20.552029848098751</v>
      </c>
    </row>
    <row r="14" spans="1:29" x14ac:dyDescent="0.3">
      <c r="A14">
        <v>2.541666666666667</v>
      </c>
      <c r="B14">
        <v>4.708333333333333</v>
      </c>
      <c r="C14">
        <v>6.166666666666667</v>
      </c>
      <c r="D14">
        <v>5.458333333333333</v>
      </c>
      <c r="E14">
        <v>9.1666666666666661</v>
      </c>
      <c r="F14">
        <v>38.708333333333343</v>
      </c>
      <c r="G14">
        <v>15.95833333333333</v>
      </c>
      <c r="H14">
        <v>16.041666666666671</v>
      </c>
      <c r="I14">
        <v>1.25</v>
      </c>
      <c r="J14">
        <v>0</v>
      </c>
      <c r="K14">
        <v>0</v>
      </c>
      <c r="L14">
        <v>-530.05790853347503</v>
      </c>
      <c r="M14">
        <v>28.912930599869661</v>
      </c>
      <c r="N14">
        <v>30.14284659869001</v>
      </c>
      <c r="O14">
        <v>16.6473951754535</v>
      </c>
      <c r="P14">
        <v>16.097362441929789</v>
      </c>
      <c r="Q14">
        <v>45.560325775323157</v>
      </c>
      <c r="R14">
        <v>34.171863845260333</v>
      </c>
      <c r="S14" t="s">
        <v>29</v>
      </c>
      <c r="T14" t="s">
        <v>30</v>
      </c>
      <c r="U14">
        <v>165</v>
      </c>
      <c r="V14">
        <v>90</v>
      </c>
      <c r="W14" t="s">
        <v>31</v>
      </c>
      <c r="X14">
        <v>1024</v>
      </c>
      <c r="Y14">
        <v>1024</v>
      </c>
      <c r="Z14">
        <v>2400</v>
      </c>
      <c r="AA14">
        <v>13</v>
      </c>
      <c r="AB14" t="s">
        <v>44</v>
      </c>
      <c r="AC14">
        <v>20.60573935508728</v>
      </c>
    </row>
    <row r="15" spans="1:29" x14ac:dyDescent="0.3">
      <c r="A15">
        <v>2.791666666666667</v>
      </c>
      <c r="B15">
        <v>5.7916666666666661</v>
      </c>
      <c r="C15">
        <v>5.125</v>
      </c>
      <c r="D15">
        <v>3.916666666666667</v>
      </c>
      <c r="E15">
        <v>10.66666666666667</v>
      </c>
      <c r="F15">
        <v>42.75</v>
      </c>
      <c r="G15">
        <v>16.125</v>
      </c>
      <c r="H15">
        <v>11.91666666666667</v>
      </c>
      <c r="I15">
        <v>0.91666666666666663</v>
      </c>
      <c r="J15">
        <v>0</v>
      </c>
      <c r="K15">
        <v>0</v>
      </c>
      <c r="L15">
        <v>-745.47295019810394</v>
      </c>
      <c r="M15">
        <v>28.81421960765568</v>
      </c>
      <c r="N15">
        <v>30.950793415911011</v>
      </c>
      <c r="O15">
        <v>12.913773271288219</v>
      </c>
      <c r="P15">
        <v>13.261113322541309</v>
      </c>
      <c r="Q15">
        <v>41.727992878943908</v>
      </c>
      <c r="R15">
        <v>33.672076556513161</v>
      </c>
      <c r="S15" t="s">
        <v>29</v>
      </c>
      <c r="T15" t="s">
        <v>30</v>
      </c>
      <c r="U15">
        <v>165</v>
      </c>
      <c r="V15">
        <v>90</v>
      </c>
      <c r="W15" t="s">
        <v>31</v>
      </c>
      <c r="X15">
        <v>1024</v>
      </c>
      <c r="Y15">
        <v>1024</v>
      </c>
      <c r="Z15">
        <v>2400</v>
      </c>
      <c r="AA15">
        <v>14</v>
      </c>
      <c r="AB15" t="s">
        <v>45</v>
      </c>
      <c r="AC15">
        <v>20.121800899505619</v>
      </c>
    </row>
    <row r="16" spans="1:29" x14ac:dyDescent="0.3">
      <c r="A16">
        <v>6</v>
      </c>
      <c r="B16">
        <v>4.416666666666667</v>
      </c>
      <c r="C16">
        <v>5.916666666666667</v>
      </c>
      <c r="D16">
        <v>5.3333333333333339</v>
      </c>
      <c r="E16">
        <v>7.208333333333333</v>
      </c>
      <c r="F16">
        <v>43.416666666666657</v>
      </c>
      <c r="G16">
        <v>14.875</v>
      </c>
      <c r="H16">
        <v>12.83333333333333</v>
      </c>
      <c r="I16">
        <v>0</v>
      </c>
      <c r="J16">
        <v>0</v>
      </c>
      <c r="K16">
        <v>0</v>
      </c>
      <c r="L16">
        <v>-2341.5373342033981</v>
      </c>
      <c r="M16">
        <v>30.934927280266852</v>
      </c>
      <c r="N16">
        <v>34.221196314674323</v>
      </c>
      <c r="O16">
        <v>13.46770392427675</v>
      </c>
      <c r="P16">
        <v>12.830991587754861</v>
      </c>
      <c r="Q16">
        <v>44.402631204543603</v>
      </c>
      <c r="R16">
        <v>36.547566571969121</v>
      </c>
      <c r="S16" t="s">
        <v>29</v>
      </c>
      <c r="T16" t="s">
        <v>30</v>
      </c>
      <c r="U16">
        <v>165</v>
      </c>
      <c r="V16">
        <v>90</v>
      </c>
      <c r="W16" t="s">
        <v>31</v>
      </c>
      <c r="X16">
        <v>1024</v>
      </c>
      <c r="Y16">
        <v>1024</v>
      </c>
      <c r="Z16">
        <v>2400</v>
      </c>
      <c r="AA16">
        <v>15</v>
      </c>
      <c r="AB16" t="s">
        <v>46</v>
      </c>
      <c r="AC16">
        <v>20.312158346176151</v>
      </c>
    </row>
    <row r="17" spans="1:29" x14ac:dyDescent="0.3">
      <c r="A17">
        <v>4.9166666666666661</v>
      </c>
      <c r="B17">
        <v>4.9166666666666661</v>
      </c>
      <c r="C17">
        <v>4.75</v>
      </c>
      <c r="D17">
        <v>4</v>
      </c>
      <c r="E17">
        <v>7.166666666666667</v>
      </c>
      <c r="F17">
        <v>42.083333333333343</v>
      </c>
      <c r="G17">
        <v>13.83333333333333</v>
      </c>
      <c r="H17">
        <v>18.333333333333329</v>
      </c>
      <c r="I17">
        <v>0</v>
      </c>
      <c r="J17">
        <v>0</v>
      </c>
      <c r="K17">
        <v>0</v>
      </c>
      <c r="L17">
        <v>74.380934833033734</v>
      </c>
      <c r="M17">
        <v>30.321705502464191</v>
      </c>
      <c r="N17">
        <v>34.493684993693087</v>
      </c>
      <c r="O17">
        <v>16.36109258526621</v>
      </c>
      <c r="P17">
        <v>15.354833085596621</v>
      </c>
      <c r="Q17">
        <v>46.68279808773039</v>
      </c>
      <c r="R17">
        <v>37.756922590839693</v>
      </c>
      <c r="S17" t="s">
        <v>29</v>
      </c>
      <c r="T17" t="s">
        <v>30</v>
      </c>
      <c r="U17">
        <v>165</v>
      </c>
      <c r="V17">
        <v>90</v>
      </c>
      <c r="W17" t="s">
        <v>31</v>
      </c>
      <c r="X17">
        <v>1024</v>
      </c>
      <c r="Y17">
        <v>1024</v>
      </c>
      <c r="Z17">
        <v>2400</v>
      </c>
      <c r="AA17">
        <v>16</v>
      </c>
      <c r="AB17" t="s">
        <v>47</v>
      </c>
      <c r="AC17">
        <v>20.488617897033691</v>
      </c>
    </row>
    <row r="18" spans="1:29" x14ac:dyDescent="0.3">
      <c r="A18">
        <v>5.3333333333333339</v>
      </c>
      <c r="B18">
        <v>2.208333333333333</v>
      </c>
      <c r="C18">
        <v>2.791666666666667</v>
      </c>
      <c r="D18">
        <v>4.9166666666666661</v>
      </c>
      <c r="E18">
        <v>8.3333333333333321</v>
      </c>
      <c r="F18">
        <v>45.25</v>
      </c>
      <c r="G18">
        <v>16.25</v>
      </c>
      <c r="H18">
        <v>14.04166666666667</v>
      </c>
      <c r="I18">
        <v>0.87500000000000011</v>
      </c>
      <c r="J18">
        <v>0</v>
      </c>
      <c r="K18">
        <v>0</v>
      </c>
      <c r="L18">
        <v>81.610245059634053</v>
      </c>
      <c r="M18">
        <v>26.80538106430128</v>
      </c>
      <c r="N18">
        <v>34.045984279772703</v>
      </c>
      <c r="O18">
        <v>15.50714211014097</v>
      </c>
      <c r="P18">
        <v>16.502643795669659</v>
      </c>
      <c r="Q18">
        <v>42.312523174442248</v>
      </c>
      <c r="R18">
        <v>37.834723440581463</v>
      </c>
      <c r="S18" t="s">
        <v>29</v>
      </c>
      <c r="T18" t="s">
        <v>30</v>
      </c>
      <c r="U18">
        <v>165</v>
      </c>
      <c r="V18">
        <v>90</v>
      </c>
      <c r="W18" t="s">
        <v>31</v>
      </c>
      <c r="X18">
        <v>1024</v>
      </c>
      <c r="Y18">
        <v>1024</v>
      </c>
      <c r="Z18">
        <v>2400</v>
      </c>
      <c r="AA18">
        <v>17</v>
      </c>
      <c r="AB18" t="s">
        <v>48</v>
      </c>
      <c r="AC18">
        <v>20.816873550415039</v>
      </c>
    </row>
    <row r="19" spans="1:29" x14ac:dyDescent="0.3">
      <c r="A19">
        <v>4.291666666666667</v>
      </c>
      <c r="B19">
        <v>3.916666666666667</v>
      </c>
      <c r="C19">
        <v>7.0000000000000009</v>
      </c>
      <c r="D19">
        <v>5.416666666666667</v>
      </c>
      <c r="E19">
        <v>8.5</v>
      </c>
      <c r="F19">
        <v>35.291666666666657</v>
      </c>
      <c r="G19">
        <v>20.208333333333329</v>
      </c>
      <c r="H19">
        <v>11.75</v>
      </c>
      <c r="I19">
        <v>3.625</v>
      </c>
      <c r="J19">
        <v>0</v>
      </c>
      <c r="K19">
        <v>0</v>
      </c>
      <c r="L19">
        <v>-2375.342456730757</v>
      </c>
      <c r="M19">
        <v>31.292744913298339</v>
      </c>
      <c r="N19">
        <v>31.984364808084081</v>
      </c>
      <c r="O19">
        <v>17.52973706025756</v>
      </c>
      <c r="P19">
        <v>18.1728209701606</v>
      </c>
      <c r="Q19">
        <v>48.822481973555902</v>
      </c>
      <c r="R19">
        <v>36.786560238626777</v>
      </c>
      <c r="S19" t="s">
        <v>29</v>
      </c>
      <c r="T19" t="s">
        <v>30</v>
      </c>
      <c r="U19">
        <v>165</v>
      </c>
      <c r="V19">
        <v>90</v>
      </c>
      <c r="W19" t="s">
        <v>31</v>
      </c>
      <c r="X19">
        <v>1024</v>
      </c>
      <c r="Y19">
        <v>1024</v>
      </c>
      <c r="Z19">
        <v>2400</v>
      </c>
      <c r="AA19">
        <v>18</v>
      </c>
      <c r="AB19" t="s">
        <v>49</v>
      </c>
      <c r="AC19">
        <v>20.48918533325195</v>
      </c>
    </row>
    <row r="20" spans="1:29" x14ac:dyDescent="0.3">
      <c r="A20">
        <v>5.875</v>
      </c>
      <c r="B20">
        <v>4.791666666666667</v>
      </c>
      <c r="C20">
        <v>4.833333333333333</v>
      </c>
      <c r="D20">
        <v>4.666666666666667</v>
      </c>
      <c r="E20">
        <v>7.625</v>
      </c>
      <c r="F20">
        <v>35.083333333333343</v>
      </c>
      <c r="G20">
        <v>19.791666666666661</v>
      </c>
      <c r="H20">
        <v>13.875</v>
      </c>
      <c r="I20">
        <v>2.833333333333333</v>
      </c>
      <c r="J20">
        <v>0.625</v>
      </c>
      <c r="K20">
        <v>0</v>
      </c>
      <c r="L20">
        <v>-1699.6815509448929</v>
      </c>
      <c r="M20">
        <v>34.257918281155632</v>
      </c>
      <c r="N20">
        <v>35.45923147249141</v>
      </c>
      <c r="O20">
        <v>18.729235340524951</v>
      </c>
      <c r="P20">
        <v>18.881788437018169</v>
      </c>
      <c r="Q20">
        <v>52.987153621680577</v>
      </c>
      <c r="R20">
        <v>40.173113287372168</v>
      </c>
      <c r="S20" t="s">
        <v>29</v>
      </c>
      <c r="T20" t="s">
        <v>30</v>
      </c>
      <c r="U20">
        <v>165</v>
      </c>
      <c r="V20">
        <v>90</v>
      </c>
      <c r="W20" t="s">
        <v>31</v>
      </c>
      <c r="X20">
        <v>1024</v>
      </c>
      <c r="Y20">
        <v>1024</v>
      </c>
      <c r="Z20">
        <v>2400</v>
      </c>
      <c r="AA20">
        <v>19</v>
      </c>
      <c r="AB20" t="s">
        <v>50</v>
      </c>
      <c r="AC20">
        <v>20.57171273231506</v>
      </c>
    </row>
    <row r="21" spans="1:29" x14ac:dyDescent="0.3">
      <c r="A21">
        <v>29.125</v>
      </c>
      <c r="B21">
        <v>4.4583333333333339</v>
      </c>
      <c r="C21">
        <v>5.166666666666667</v>
      </c>
      <c r="D21">
        <v>3.125</v>
      </c>
      <c r="E21">
        <v>5.541666666666667</v>
      </c>
      <c r="F21">
        <v>28.333333333333329</v>
      </c>
      <c r="G21">
        <v>11.08333333333333</v>
      </c>
      <c r="H21">
        <v>12.08333333333333</v>
      </c>
      <c r="I21">
        <v>1.083333333333333</v>
      </c>
      <c r="J21">
        <v>0</v>
      </c>
      <c r="K21">
        <v>0</v>
      </c>
      <c r="L21">
        <v>-333.34769999999997</v>
      </c>
      <c r="M21">
        <v>63.956208950134403</v>
      </c>
      <c r="N21">
        <v>41.00438655819864</v>
      </c>
      <c r="O21">
        <v>16.002228940912751</v>
      </c>
      <c r="P21">
        <v>15.641309011730479</v>
      </c>
      <c r="Q21">
        <v>79.958437891047154</v>
      </c>
      <c r="R21">
        <v>43.886333460595942</v>
      </c>
      <c r="S21" t="s">
        <v>29</v>
      </c>
      <c r="T21" t="s">
        <v>30</v>
      </c>
      <c r="U21">
        <v>165</v>
      </c>
      <c r="V21">
        <v>90</v>
      </c>
      <c r="W21" t="s">
        <v>31</v>
      </c>
      <c r="X21">
        <v>1024</v>
      </c>
      <c r="Y21">
        <v>1024</v>
      </c>
      <c r="Z21">
        <v>2400</v>
      </c>
      <c r="AA21">
        <v>20</v>
      </c>
      <c r="AB21" t="s">
        <v>51</v>
      </c>
      <c r="AC21">
        <v>19.742586135864261</v>
      </c>
    </row>
    <row r="22" spans="1:29" x14ac:dyDescent="0.3">
      <c r="A22">
        <v>5.541666666666667</v>
      </c>
      <c r="B22">
        <v>3.5</v>
      </c>
      <c r="C22">
        <v>6.208333333333333</v>
      </c>
      <c r="D22">
        <v>5.125</v>
      </c>
      <c r="E22">
        <v>7.7083333333333339</v>
      </c>
      <c r="F22">
        <v>38.25</v>
      </c>
      <c r="G22">
        <v>20.125</v>
      </c>
      <c r="H22">
        <v>11.45833333333333</v>
      </c>
      <c r="I22">
        <v>1.541666666666667</v>
      </c>
      <c r="J22">
        <v>0.54166666666666674</v>
      </c>
      <c r="K22">
        <v>0</v>
      </c>
      <c r="L22">
        <v>-567.81807509235227</v>
      </c>
      <c r="M22">
        <v>30.522766713411109</v>
      </c>
      <c r="N22">
        <v>33.678822152002738</v>
      </c>
      <c r="O22">
        <v>16.70102634472871</v>
      </c>
      <c r="P22">
        <v>17.307756483170291</v>
      </c>
      <c r="Q22">
        <v>47.223793058139833</v>
      </c>
      <c r="R22">
        <v>37.865835472453973</v>
      </c>
      <c r="S22" t="s">
        <v>29</v>
      </c>
      <c r="T22" t="s">
        <v>30</v>
      </c>
      <c r="U22">
        <v>165</v>
      </c>
      <c r="V22">
        <v>90</v>
      </c>
      <c r="W22" t="s">
        <v>31</v>
      </c>
      <c r="X22">
        <v>1024</v>
      </c>
      <c r="Y22">
        <v>1024</v>
      </c>
      <c r="Z22">
        <v>2400</v>
      </c>
      <c r="AA22">
        <v>21</v>
      </c>
      <c r="AB22" t="s">
        <v>52</v>
      </c>
      <c r="AC22">
        <v>20.79099273681641</v>
      </c>
    </row>
    <row r="23" spans="1:29" x14ac:dyDescent="0.3">
      <c r="A23">
        <v>5.166666666666667</v>
      </c>
      <c r="B23">
        <v>2.958333333333333</v>
      </c>
      <c r="C23">
        <v>6.166666666666667</v>
      </c>
      <c r="D23">
        <v>4.4583333333333339</v>
      </c>
      <c r="E23">
        <v>9.9166666666666661</v>
      </c>
      <c r="F23">
        <v>38.083333333333343</v>
      </c>
      <c r="G23">
        <v>18.583333333333329</v>
      </c>
      <c r="H23">
        <v>14.66666666666667</v>
      </c>
      <c r="I23">
        <v>0</v>
      </c>
      <c r="J23">
        <v>0</v>
      </c>
      <c r="K23">
        <v>0</v>
      </c>
      <c r="L23">
        <v>-1899.150767245178</v>
      </c>
      <c r="M23">
        <v>30.190285221237271</v>
      </c>
      <c r="N23">
        <v>33.187507044442633</v>
      </c>
      <c r="O23">
        <v>14.882089122780609</v>
      </c>
      <c r="P23">
        <v>12.509342414134061</v>
      </c>
      <c r="Q23">
        <v>45.072374344017881</v>
      </c>
      <c r="R23">
        <v>35.466805205134882</v>
      </c>
      <c r="S23" t="s">
        <v>29</v>
      </c>
      <c r="T23" t="s">
        <v>30</v>
      </c>
      <c r="U23">
        <v>165</v>
      </c>
      <c r="V23">
        <v>90</v>
      </c>
      <c r="W23" t="s">
        <v>31</v>
      </c>
      <c r="X23">
        <v>1024</v>
      </c>
      <c r="Y23">
        <v>1024</v>
      </c>
      <c r="Z23">
        <v>2400</v>
      </c>
      <c r="AA23">
        <v>22</v>
      </c>
      <c r="AB23" t="s">
        <v>53</v>
      </c>
      <c r="AC23">
        <v>20.663730144500729</v>
      </c>
    </row>
    <row r="24" spans="1:29" x14ac:dyDescent="0.3">
      <c r="A24">
        <v>5.291666666666667</v>
      </c>
      <c r="B24">
        <v>1.916666666666667</v>
      </c>
      <c r="C24">
        <v>3.791666666666667</v>
      </c>
      <c r="D24">
        <v>3.875</v>
      </c>
      <c r="E24">
        <v>10.33333333333333</v>
      </c>
      <c r="F24">
        <v>45.166666666666657</v>
      </c>
      <c r="G24">
        <v>13</v>
      </c>
      <c r="H24">
        <v>15.79166666666667</v>
      </c>
      <c r="I24">
        <v>0.83333333333333337</v>
      </c>
      <c r="J24">
        <v>0</v>
      </c>
      <c r="K24">
        <v>0</v>
      </c>
      <c r="L24">
        <v>-787.68452129406046</v>
      </c>
      <c r="M24">
        <v>24.647645817005721</v>
      </c>
      <c r="N24">
        <v>32.215589032347197</v>
      </c>
      <c r="O24">
        <v>15.41287433697534</v>
      </c>
      <c r="P24">
        <v>14.7726516611243</v>
      </c>
      <c r="Q24">
        <v>40.060520153981052</v>
      </c>
      <c r="R24">
        <v>35.441154239132899</v>
      </c>
      <c r="S24" t="s">
        <v>29</v>
      </c>
      <c r="T24" t="s">
        <v>30</v>
      </c>
      <c r="U24">
        <v>165</v>
      </c>
      <c r="V24">
        <v>90</v>
      </c>
      <c r="W24" t="s">
        <v>31</v>
      </c>
      <c r="X24">
        <v>1024</v>
      </c>
      <c r="Y24">
        <v>1024</v>
      </c>
      <c r="Z24">
        <v>2400</v>
      </c>
      <c r="AA24">
        <v>23</v>
      </c>
      <c r="AB24" t="s">
        <v>54</v>
      </c>
      <c r="AC24">
        <v>20.602188110351559</v>
      </c>
    </row>
    <row r="25" spans="1:29" x14ac:dyDescent="0.3">
      <c r="A25">
        <v>6.8750000000000009</v>
      </c>
      <c r="B25">
        <v>4.666666666666667</v>
      </c>
      <c r="C25">
        <v>5.541666666666667</v>
      </c>
      <c r="D25">
        <v>3.875</v>
      </c>
      <c r="E25">
        <v>8.3333333333333321</v>
      </c>
      <c r="F25">
        <v>36.541666666666657</v>
      </c>
      <c r="G25">
        <v>16.958333333333329</v>
      </c>
      <c r="H25">
        <v>14.45833333333333</v>
      </c>
      <c r="I25">
        <v>2.75</v>
      </c>
      <c r="J25">
        <v>0</v>
      </c>
      <c r="K25">
        <v>0</v>
      </c>
      <c r="L25">
        <v>-1361.8515756778961</v>
      </c>
      <c r="M25">
        <v>36.033694235987703</v>
      </c>
      <c r="N25">
        <v>36.141221713713541</v>
      </c>
      <c r="O25">
        <v>17.919313612914952</v>
      </c>
      <c r="P25">
        <v>18.103200372366359</v>
      </c>
      <c r="Q25">
        <v>53.953007848902658</v>
      </c>
      <c r="R25">
        <v>40.421699255249592</v>
      </c>
      <c r="S25" t="s">
        <v>29</v>
      </c>
      <c r="T25" t="s">
        <v>30</v>
      </c>
      <c r="U25">
        <v>165</v>
      </c>
      <c r="V25">
        <v>90</v>
      </c>
      <c r="W25" t="s">
        <v>31</v>
      </c>
      <c r="X25">
        <v>1024</v>
      </c>
      <c r="Y25">
        <v>1024</v>
      </c>
      <c r="Z25">
        <v>2400</v>
      </c>
      <c r="AA25">
        <v>24</v>
      </c>
      <c r="AB25" t="s">
        <v>55</v>
      </c>
      <c r="AC25">
        <v>20.546931266784672</v>
      </c>
    </row>
    <row r="26" spans="1:29" x14ac:dyDescent="0.3">
      <c r="A26">
        <v>3.541666666666667</v>
      </c>
      <c r="B26">
        <v>4.1666666666666661</v>
      </c>
      <c r="C26">
        <v>7.2499999999999991</v>
      </c>
      <c r="D26">
        <v>6.25</v>
      </c>
      <c r="E26">
        <v>11.125</v>
      </c>
      <c r="F26">
        <v>35.166666666666671</v>
      </c>
      <c r="G26">
        <v>13.04166666666667</v>
      </c>
      <c r="H26">
        <v>17.916666666666671</v>
      </c>
      <c r="I26">
        <v>1.541666666666667</v>
      </c>
      <c r="J26">
        <v>0</v>
      </c>
      <c r="K26">
        <v>0</v>
      </c>
      <c r="L26">
        <v>-3394.2619698203011</v>
      </c>
      <c r="M26">
        <v>28.84471886353148</v>
      </c>
      <c r="N26">
        <v>29.807098622214831</v>
      </c>
      <c r="O26">
        <v>19.32280892332497</v>
      </c>
      <c r="P26">
        <v>17.934969097285769</v>
      </c>
      <c r="Q26">
        <v>48.167527786856454</v>
      </c>
      <c r="R26">
        <v>34.786868855863368</v>
      </c>
      <c r="S26" t="s">
        <v>29</v>
      </c>
      <c r="T26" t="s">
        <v>30</v>
      </c>
      <c r="U26">
        <v>165</v>
      </c>
      <c r="V26">
        <v>90</v>
      </c>
      <c r="W26" t="s">
        <v>31</v>
      </c>
      <c r="X26">
        <v>1024</v>
      </c>
      <c r="Y26">
        <v>1024</v>
      </c>
      <c r="Z26">
        <v>2400</v>
      </c>
      <c r="AA26">
        <v>25</v>
      </c>
      <c r="AB26" t="s">
        <v>56</v>
      </c>
      <c r="AC26">
        <v>20.077486038208011</v>
      </c>
    </row>
    <row r="27" spans="1:29" x14ac:dyDescent="0.3">
      <c r="A27">
        <v>6.2916666666666661</v>
      </c>
      <c r="B27">
        <v>4.375</v>
      </c>
      <c r="C27">
        <v>5.166666666666667</v>
      </c>
      <c r="D27">
        <v>4.4583333333333339</v>
      </c>
      <c r="E27">
        <v>8.125</v>
      </c>
      <c r="F27">
        <v>40.875</v>
      </c>
      <c r="G27">
        <v>19.458333333333329</v>
      </c>
      <c r="H27">
        <v>10.79166666666667</v>
      </c>
      <c r="I27">
        <v>0.45833333333333331</v>
      </c>
      <c r="J27">
        <v>0</v>
      </c>
      <c r="K27">
        <v>0</v>
      </c>
      <c r="L27">
        <v>-2744.8854982296612</v>
      </c>
      <c r="M27">
        <v>31.571442413520622</v>
      </c>
      <c r="N27">
        <v>35.382046310585743</v>
      </c>
      <c r="O27">
        <v>13.87238083852502</v>
      </c>
      <c r="P27">
        <v>13.414432515866739</v>
      </c>
      <c r="Q27">
        <v>45.44382325204564</v>
      </c>
      <c r="R27">
        <v>37.839611531398909</v>
      </c>
      <c r="S27" t="s">
        <v>29</v>
      </c>
      <c r="T27" t="s">
        <v>30</v>
      </c>
      <c r="U27">
        <v>165</v>
      </c>
      <c r="V27">
        <v>90</v>
      </c>
      <c r="W27" t="s">
        <v>31</v>
      </c>
      <c r="X27">
        <v>1024</v>
      </c>
      <c r="Y27">
        <v>1024</v>
      </c>
      <c r="Z27">
        <v>2400</v>
      </c>
      <c r="AA27">
        <v>26</v>
      </c>
      <c r="AB27" t="s">
        <v>57</v>
      </c>
      <c r="AC27">
        <v>20.607901573181149</v>
      </c>
    </row>
    <row r="28" spans="1:29" x14ac:dyDescent="0.3">
      <c r="A28">
        <v>4.625</v>
      </c>
      <c r="B28">
        <v>2.291666666666667</v>
      </c>
      <c r="C28">
        <v>4.416666666666667</v>
      </c>
      <c r="D28">
        <v>4.125</v>
      </c>
      <c r="E28">
        <v>10.41666666666667</v>
      </c>
      <c r="F28">
        <v>40.375</v>
      </c>
      <c r="G28">
        <v>15.125</v>
      </c>
      <c r="H28">
        <v>16.666666666666661</v>
      </c>
      <c r="I28">
        <v>1.958333333333333</v>
      </c>
      <c r="J28">
        <v>0</v>
      </c>
      <c r="K28">
        <v>0</v>
      </c>
      <c r="L28">
        <v>-593.70726025912131</v>
      </c>
      <c r="M28">
        <v>26.94456020040225</v>
      </c>
      <c r="N28">
        <v>32.141456129747169</v>
      </c>
      <c r="O28">
        <v>16.532480005548269</v>
      </c>
      <c r="P28">
        <v>16.466750845008001</v>
      </c>
      <c r="Q28">
        <v>43.477040205950523</v>
      </c>
      <c r="R28">
        <v>36.11408430975419</v>
      </c>
      <c r="S28" t="s">
        <v>29</v>
      </c>
      <c r="T28" t="s">
        <v>30</v>
      </c>
      <c r="U28">
        <v>165</v>
      </c>
      <c r="V28">
        <v>90</v>
      </c>
      <c r="W28" t="s">
        <v>31</v>
      </c>
      <c r="X28">
        <v>1024</v>
      </c>
      <c r="Y28">
        <v>1024</v>
      </c>
      <c r="Z28">
        <v>2400</v>
      </c>
      <c r="AA28">
        <v>27</v>
      </c>
      <c r="AB28" t="s">
        <v>58</v>
      </c>
      <c r="AC28">
        <v>20.473628044128422</v>
      </c>
    </row>
    <row r="29" spans="1:29" x14ac:dyDescent="0.3">
      <c r="A29">
        <v>3.333333333333333</v>
      </c>
      <c r="B29">
        <v>4.9166666666666661</v>
      </c>
      <c r="C29">
        <v>5.25</v>
      </c>
      <c r="D29">
        <v>5</v>
      </c>
      <c r="E29">
        <v>9.9166666666666661</v>
      </c>
      <c r="F29">
        <v>43.75</v>
      </c>
      <c r="G29">
        <v>11.45833333333333</v>
      </c>
      <c r="H29">
        <v>16.375</v>
      </c>
      <c r="I29">
        <v>0</v>
      </c>
      <c r="J29">
        <v>0</v>
      </c>
      <c r="K29">
        <v>0</v>
      </c>
      <c r="L29">
        <v>-131.83506235720299</v>
      </c>
      <c r="M29">
        <v>27.790487913741249</v>
      </c>
      <c r="N29">
        <v>31.28009316486644</v>
      </c>
      <c r="O29">
        <v>15.58347585472845</v>
      </c>
      <c r="P29">
        <v>16.16001059707067</v>
      </c>
      <c r="Q29">
        <v>43.373963768469693</v>
      </c>
      <c r="R29">
        <v>35.207814060236117</v>
      </c>
      <c r="S29" t="s">
        <v>29</v>
      </c>
      <c r="T29" t="s">
        <v>30</v>
      </c>
      <c r="U29">
        <v>165</v>
      </c>
      <c r="V29">
        <v>90</v>
      </c>
      <c r="W29" t="s">
        <v>31</v>
      </c>
      <c r="X29">
        <v>1024</v>
      </c>
      <c r="Y29">
        <v>1024</v>
      </c>
      <c r="Z29">
        <v>2400</v>
      </c>
      <c r="AA29">
        <v>28</v>
      </c>
      <c r="AB29" t="s">
        <v>59</v>
      </c>
      <c r="AC29">
        <v>20.31240630149841</v>
      </c>
    </row>
    <row r="30" spans="1:29" x14ac:dyDescent="0.3">
      <c r="A30">
        <v>4.541666666666667</v>
      </c>
      <c r="B30">
        <v>6.3333333333333339</v>
      </c>
      <c r="C30">
        <v>5.6666666666666661</v>
      </c>
      <c r="D30">
        <v>3.75</v>
      </c>
      <c r="E30">
        <v>8.75</v>
      </c>
      <c r="F30">
        <v>38.708333333333343</v>
      </c>
      <c r="G30">
        <v>13.75</v>
      </c>
      <c r="H30">
        <v>17.041666666666661</v>
      </c>
      <c r="I30">
        <v>1.458333333333333</v>
      </c>
      <c r="J30">
        <v>0</v>
      </c>
      <c r="K30">
        <v>0</v>
      </c>
      <c r="L30">
        <v>-951.82342639576086</v>
      </c>
      <c r="M30">
        <v>32.435094705679333</v>
      </c>
      <c r="N30">
        <v>34.265485154805347</v>
      </c>
      <c r="O30">
        <v>17.096150525339429</v>
      </c>
      <c r="P30">
        <v>16.236550414506119</v>
      </c>
      <c r="Q30">
        <v>49.531245231018751</v>
      </c>
      <c r="R30">
        <v>37.917661350048803</v>
      </c>
      <c r="S30" t="s">
        <v>29</v>
      </c>
      <c r="T30" t="s">
        <v>30</v>
      </c>
      <c r="U30">
        <v>165</v>
      </c>
      <c r="V30">
        <v>90</v>
      </c>
      <c r="W30" t="s">
        <v>31</v>
      </c>
      <c r="X30">
        <v>1024</v>
      </c>
      <c r="Y30">
        <v>1024</v>
      </c>
      <c r="Z30">
        <v>2400</v>
      </c>
      <c r="AA30">
        <v>29</v>
      </c>
      <c r="AB30" t="s">
        <v>60</v>
      </c>
      <c r="AC30">
        <v>20.622858047485352</v>
      </c>
    </row>
    <row r="31" spans="1:29" x14ac:dyDescent="0.3">
      <c r="A31">
        <v>6.791666666666667</v>
      </c>
      <c r="B31">
        <v>5.3333333333333339</v>
      </c>
      <c r="C31">
        <v>5.75</v>
      </c>
      <c r="D31">
        <v>5.125</v>
      </c>
      <c r="E31">
        <v>8.875</v>
      </c>
      <c r="F31">
        <v>37.083333333333343</v>
      </c>
      <c r="G31">
        <v>13.125</v>
      </c>
      <c r="H31">
        <v>17.125</v>
      </c>
      <c r="I31">
        <v>0.79166666666666674</v>
      </c>
      <c r="J31">
        <v>0</v>
      </c>
      <c r="K31">
        <v>0</v>
      </c>
      <c r="L31">
        <v>-1381.649325853379</v>
      </c>
      <c r="M31">
        <v>36.324179694387738</v>
      </c>
      <c r="N31">
        <v>35.231834598626527</v>
      </c>
      <c r="O31">
        <v>16.884529679684849</v>
      </c>
      <c r="P31">
        <v>16.02401719228525</v>
      </c>
      <c r="Q31">
        <v>53.20870937407259</v>
      </c>
      <c r="R31">
        <v>38.704667627608323</v>
      </c>
      <c r="S31" t="s">
        <v>29</v>
      </c>
      <c r="T31" t="s">
        <v>30</v>
      </c>
      <c r="U31">
        <v>165</v>
      </c>
      <c r="V31">
        <v>90</v>
      </c>
      <c r="W31" t="s">
        <v>31</v>
      </c>
      <c r="X31">
        <v>1024</v>
      </c>
      <c r="Y31">
        <v>1024</v>
      </c>
      <c r="Z31">
        <v>2400</v>
      </c>
      <c r="AA31">
        <v>30</v>
      </c>
      <c r="AB31" t="s">
        <v>61</v>
      </c>
      <c r="AC31">
        <v>20.493854522705082</v>
      </c>
    </row>
    <row r="32" spans="1:29" x14ac:dyDescent="0.3">
      <c r="A32">
        <v>8.7083333333333339</v>
      </c>
      <c r="B32">
        <v>3.125</v>
      </c>
      <c r="C32">
        <v>5.0416666666666661</v>
      </c>
      <c r="D32">
        <v>4.625</v>
      </c>
      <c r="E32">
        <v>8.5</v>
      </c>
      <c r="F32">
        <v>38.083333333333343</v>
      </c>
      <c r="G32">
        <v>15.91666666666667</v>
      </c>
      <c r="H32">
        <v>15.16666666666667</v>
      </c>
      <c r="I32">
        <v>0.83333333333333337</v>
      </c>
      <c r="J32">
        <v>0</v>
      </c>
      <c r="K32">
        <v>0</v>
      </c>
      <c r="L32">
        <v>-756.74564746991496</v>
      </c>
      <c r="M32">
        <v>36.296679229622868</v>
      </c>
      <c r="N32">
        <v>37.434687193449463</v>
      </c>
      <c r="O32">
        <v>16.3473199915585</v>
      </c>
      <c r="P32">
        <v>15.55023436300945</v>
      </c>
      <c r="Q32">
        <v>52.643999221181367</v>
      </c>
      <c r="R32">
        <v>40.535979006506409</v>
      </c>
      <c r="S32" t="s">
        <v>29</v>
      </c>
      <c r="T32" t="s">
        <v>30</v>
      </c>
      <c r="U32">
        <v>165</v>
      </c>
      <c r="V32">
        <v>90</v>
      </c>
      <c r="W32" t="s">
        <v>31</v>
      </c>
      <c r="X32">
        <v>1024</v>
      </c>
      <c r="Y32">
        <v>1024</v>
      </c>
      <c r="Z32">
        <v>2400</v>
      </c>
      <c r="AA32">
        <v>31</v>
      </c>
      <c r="AB32" t="s">
        <v>62</v>
      </c>
      <c r="AC32">
        <v>20.3271918296814</v>
      </c>
    </row>
    <row r="33" spans="1:29" x14ac:dyDescent="0.3">
      <c r="A33">
        <v>2.708333333333333</v>
      </c>
      <c r="B33">
        <v>4.375</v>
      </c>
      <c r="C33">
        <v>4.375</v>
      </c>
      <c r="D33">
        <v>2.166666666666667</v>
      </c>
      <c r="E33">
        <v>6.5416666666666661</v>
      </c>
      <c r="F33">
        <v>48.416666666666671</v>
      </c>
      <c r="G33">
        <v>16.5</v>
      </c>
      <c r="H33">
        <v>12.54166666666667</v>
      </c>
      <c r="I33">
        <v>2.375</v>
      </c>
      <c r="J33">
        <v>0</v>
      </c>
      <c r="K33">
        <v>0</v>
      </c>
      <c r="L33">
        <v>-128.53745552674539</v>
      </c>
      <c r="M33">
        <v>24.55982313562798</v>
      </c>
      <c r="N33">
        <v>31.564295510244371</v>
      </c>
      <c r="O33">
        <v>14.73117646622952</v>
      </c>
      <c r="P33">
        <v>16.601434674223938</v>
      </c>
      <c r="Q33">
        <v>39.2909996018575</v>
      </c>
      <c r="R33">
        <v>35.663880667988977</v>
      </c>
      <c r="S33" t="s">
        <v>29</v>
      </c>
      <c r="T33" t="s">
        <v>30</v>
      </c>
      <c r="U33">
        <v>165</v>
      </c>
      <c r="V33">
        <v>90</v>
      </c>
      <c r="W33" t="s">
        <v>31</v>
      </c>
      <c r="X33">
        <v>1024</v>
      </c>
      <c r="Y33">
        <v>1024</v>
      </c>
      <c r="Z33">
        <v>2400</v>
      </c>
      <c r="AA33">
        <v>32</v>
      </c>
      <c r="AB33" t="s">
        <v>63</v>
      </c>
      <c r="AC33">
        <v>20.50041747093201</v>
      </c>
    </row>
    <row r="34" spans="1:29" x14ac:dyDescent="0.3">
      <c r="A34">
        <v>2.541666666666667</v>
      </c>
      <c r="B34">
        <v>4.541666666666667</v>
      </c>
      <c r="C34">
        <v>6</v>
      </c>
      <c r="D34">
        <v>5.583333333333333</v>
      </c>
      <c r="E34">
        <v>7.416666666666667</v>
      </c>
      <c r="F34">
        <v>42.333333333333343</v>
      </c>
      <c r="G34">
        <v>18.625</v>
      </c>
      <c r="H34">
        <v>11.91666666666667</v>
      </c>
      <c r="I34">
        <v>1.041666666666667</v>
      </c>
      <c r="J34">
        <v>0</v>
      </c>
      <c r="K34">
        <v>0</v>
      </c>
      <c r="L34">
        <v>-2702.7219179287108</v>
      </c>
      <c r="M34">
        <v>28.25493277957489</v>
      </c>
      <c r="N34">
        <v>30.28431702413349</v>
      </c>
      <c r="O34">
        <v>13.9625706967546</v>
      </c>
      <c r="P34">
        <v>14.193293576432129</v>
      </c>
      <c r="Q34">
        <v>42.217503476329483</v>
      </c>
      <c r="R34">
        <v>33.445320153423722</v>
      </c>
      <c r="S34" t="s">
        <v>29</v>
      </c>
      <c r="T34" t="s">
        <v>30</v>
      </c>
      <c r="U34">
        <v>165</v>
      </c>
      <c r="V34">
        <v>90</v>
      </c>
      <c r="W34" t="s">
        <v>31</v>
      </c>
      <c r="X34">
        <v>1024</v>
      </c>
      <c r="Y34">
        <v>1024</v>
      </c>
      <c r="Z34">
        <v>2400</v>
      </c>
      <c r="AA34">
        <v>33</v>
      </c>
      <c r="AB34" t="s">
        <v>64</v>
      </c>
      <c r="AC34">
        <v>20.520477294921879</v>
      </c>
    </row>
    <row r="35" spans="1:29" x14ac:dyDescent="0.3">
      <c r="A35">
        <v>3.375</v>
      </c>
      <c r="B35">
        <v>1.791666666666667</v>
      </c>
      <c r="C35">
        <v>1.333333333333333</v>
      </c>
      <c r="D35">
        <v>4.25</v>
      </c>
      <c r="E35">
        <v>12.83333333333333</v>
      </c>
      <c r="F35">
        <v>51.833333333333329</v>
      </c>
      <c r="G35">
        <v>12.04166666666667</v>
      </c>
      <c r="H35">
        <v>12.54166666666667</v>
      </c>
      <c r="I35">
        <v>0</v>
      </c>
      <c r="J35">
        <v>0</v>
      </c>
      <c r="K35">
        <v>0</v>
      </c>
      <c r="L35">
        <v>-556.49158263117101</v>
      </c>
      <c r="M35">
        <v>18.79077208173797</v>
      </c>
      <c r="N35">
        <v>27.802126059698129</v>
      </c>
      <c r="O35">
        <v>12.26385051734788</v>
      </c>
      <c r="P35">
        <v>12.79373867250321</v>
      </c>
      <c r="Q35">
        <v>31.05462259908585</v>
      </c>
      <c r="R35">
        <v>30.60454153650484</v>
      </c>
      <c r="S35" t="s">
        <v>29</v>
      </c>
      <c r="T35" t="s">
        <v>30</v>
      </c>
      <c r="U35">
        <v>165</v>
      </c>
      <c r="V35">
        <v>90</v>
      </c>
      <c r="W35" t="s">
        <v>31</v>
      </c>
      <c r="X35">
        <v>1024</v>
      </c>
      <c r="Y35">
        <v>1024</v>
      </c>
      <c r="Z35">
        <v>2400</v>
      </c>
      <c r="AA35">
        <v>34</v>
      </c>
      <c r="AB35" t="s">
        <v>65</v>
      </c>
      <c r="AC35">
        <v>20.21706485748291</v>
      </c>
    </row>
    <row r="36" spans="1:29" x14ac:dyDescent="0.3">
      <c r="A36">
        <v>4.291666666666667</v>
      </c>
      <c r="B36">
        <v>1.791666666666667</v>
      </c>
      <c r="C36">
        <v>4.5</v>
      </c>
      <c r="D36">
        <v>4.666666666666667</v>
      </c>
      <c r="E36">
        <v>8.0833333333333321</v>
      </c>
      <c r="F36">
        <v>55.000000000000007</v>
      </c>
      <c r="G36">
        <v>14.83333333333333</v>
      </c>
      <c r="H36">
        <v>6.833333333333333</v>
      </c>
      <c r="I36">
        <v>0</v>
      </c>
      <c r="J36">
        <v>0</v>
      </c>
      <c r="K36">
        <v>0</v>
      </c>
      <c r="L36">
        <v>-866.16123936470262</v>
      </c>
      <c r="M36">
        <v>22.75130528279205</v>
      </c>
      <c r="N36">
        <v>30.56023334704652</v>
      </c>
      <c r="O36">
        <v>9.9105761410692867</v>
      </c>
      <c r="P36">
        <v>11.90016422208936</v>
      </c>
      <c r="Q36">
        <v>32.661881423861338</v>
      </c>
      <c r="R36">
        <v>32.795453507134653</v>
      </c>
      <c r="S36" t="s">
        <v>29</v>
      </c>
      <c r="T36" t="s">
        <v>30</v>
      </c>
      <c r="U36">
        <v>165</v>
      </c>
      <c r="V36">
        <v>90</v>
      </c>
      <c r="W36" t="s">
        <v>31</v>
      </c>
      <c r="X36">
        <v>1024</v>
      </c>
      <c r="Y36">
        <v>1024</v>
      </c>
      <c r="Z36">
        <v>2400</v>
      </c>
      <c r="AA36">
        <v>35</v>
      </c>
      <c r="AB36" t="s">
        <v>66</v>
      </c>
      <c r="AC36">
        <v>20.475537061691281</v>
      </c>
    </row>
    <row r="37" spans="1:29" x14ac:dyDescent="0.3">
      <c r="A37">
        <v>5.541666666666667</v>
      </c>
      <c r="B37">
        <v>2.875</v>
      </c>
      <c r="C37">
        <v>4.583333333333333</v>
      </c>
      <c r="D37">
        <v>4.4583333333333339</v>
      </c>
      <c r="E37">
        <v>11.79166666666667</v>
      </c>
      <c r="F37">
        <v>38.833333333333329</v>
      </c>
      <c r="G37">
        <v>14.25</v>
      </c>
      <c r="H37">
        <v>14.875</v>
      </c>
      <c r="I37">
        <v>2.791666666666667</v>
      </c>
      <c r="J37">
        <v>0</v>
      </c>
      <c r="K37">
        <v>0</v>
      </c>
      <c r="L37">
        <v>-1165.5777720516071</v>
      </c>
      <c r="M37">
        <v>29.585917772368109</v>
      </c>
      <c r="N37">
        <v>33.137494194336561</v>
      </c>
      <c r="O37">
        <v>16.990842780491342</v>
      </c>
      <c r="P37">
        <v>17.51225808484827</v>
      </c>
      <c r="Q37">
        <v>46.576760552859447</v>
      </c>
      <c r="R37">
        <v>37.480297553648413</v>
      </c>
      <c r="S37" t="s">
        <v>29</v>
      </c>
      <c r="T37" t="s">
        <v>30</v>
      </c>
      <c r="U37">
        <v>165</v>
      </c>
      <c r="V37">
        <v>90</v>
      </c>
      <c r="W37" t="s">
        <v>31</v>
      </c>
      <c r="X37">
        <v>1024</v>
      </c>
      <c r="Y37">
        <v>1024</v>
      </c>
      <c r="Z37">
        <v>2400</v>
      </c>
      <c r="AA37">
        <v>36</v>
      </c>
      <c r="AB37" t="s">
        <v>67</v>
      </c>
      <c r="AC37">
        <v>20.646450519561771</v>
      </c>
    </row>
    <row r="38" spans="1:29" x14ac:dyDescent="0.3">
      <c r="A38">
        <v>4.5</v>
      </c>
      <c r="B38">
        <v>3.166666666666667</v>
      </c>
      <c r="C38">
        <v>5</v>
      </c>
      <c r="D38">
        <v>4.541666666666667</v>
      </c>
      <c r="E38">
        <v>10.16666666666667</v>
      </c>
      <c r="F38">
        <v>43.458333333333329</v>
      </c>
      <c r="G38">
        <v>15.375</v>
      </c>
      <c r="H38">
        <v>12.41666666666667</v>
      </c>
      <c r="I38">
        <v>1.375</v>
      </c>
      <c r="J38">
        <v>0</v>
      </c>
      <c r="K38">
        <v>0</v>
      </c>
      <c r="L38">
        <v>114.9848706677092</v>
      </c>
      <c r="M38">
        <v>27.32493030994539</v>
      </c>
      <c r="N38">
        <v>31.964514676470561</v>
      </c>
      <c r="O38">
        <v>14.33239593344708</v>
      </c>
      <c r="P38">
        <v>15.445562242478029</v>
      </c>
      <c r="Q38">
        <v>41.657326243392468</v>
      </c>
      <c r="R38">
        <v>35.500642127834311</v>
      </c>
      <c r="S38" t="s">
        <v>29</v>
      </c>
      <c r="T38" t="s">
        <v>30</v>
      </c>
      <c r="U38">
        <v>165</v>
      </c>
      <c r="V38">
        <v>90</v>
      </c>
      <c r="W38" t="s">
        <v>31</v>
      </c>
      <c r="X38">
        <v>1024</v>
      </c>
      <c r="Y38">
        <v>1024</v>
      </c>
      <c r="Z38">
        <v>2400</v>
      </c>
      <c r="AA38">
        <v>37</v>
      </c>
      <c r="AB38" t="s">
        <v>68</v>
      </c>
      <c r="AC38">
        <v>20.62181377410889</v>
      </c>
    </row>
    <row r="39" spans="1:29" x14ac:dyDescent="0.3">
      <c r="A39">
        <v>4.208333333333333</v>
      </c>
      <c r="B39">
        <v>3.583333333333333</v>
      </c>
      <c r="C39">
        <v>2.791666666666667</v>
      </c>
      <c r="D39">
        <v>4.5</v>
      </c>
      <c r="E39">
        <v>9.375</v>
      </c>
      <c r="F39">
        <v>47.916666666666671</v>
      </c>
      <c r="G39">
        <v>16.75</v>
      </c>
      <c r="H39">
        <v>7.9166666666666661</v>
      </c>
      <c r="I39">
        <v>2.958333333333333</v>
      </c>
      <c r="J39">
        <v>0</v>
      </c>
      <c r="K39">
        <v>0</v>
      </c>
      <c r="L39">
        <v>-406.92306907064841</v>
      </c>
      <c r="M39">
        <v>23.904401759171328</v>
      </c>
      <c r="N39">
        <v>31.621127107071249</v>
      </c>
      <c r="O39">
        <v>14.42160317548187</v>
      </c>
      <c r="P39">
        <v>16.468962356295311</v>
      </c>
      <c r="Q39">
        <v>38.326004934653199</v>
      </c>
      <c r="R39">
        <v>35.652803544947602</v>
      </c>
      <c r="S39" t="s">
        <v>29</v>
      </c>
      <c r="T39" t="s">
        <v>30</v>
      </c>
      <c r="U39">
        <v>165</v>
      </c>
      <c r="V39">
        <v>90</v>
      </c>
      <c r="W39" t="s">
        <v>31</v>
      </c>
      <c r="X39">
        <v>1024</v>
      </c>
      <c r="Y39">
        <v>1024</v>
      </c>
      <c r="Z39">
        <v>2400</v>
      </c>
      <c r="AA39">
        <v>38</v>
      </c>
      <c r="AB39" t="s">
        <v>69</v>
      </c>
      <c r="AC39">
        <v>20.602783918380741</v>
      </c>
    </row>
    <row r="40" spans="1:29" x14ac:dyDescent="0.3">
      <c r="A40">
        <v>2.708333333333333</v>
      </c>
      <c r="B40">
        <v>2.75</v>
      </c>
      <c r="C40">
        <v>6.791666666666667</v>
      </c>
      <c r="D40">
        <v>3.791666666666667</v>
      </c>
      <c r="E40">
        <v>9.5833333333333339</v>
      </c>
      <c r="F40">
        <v>44.166666666666657</v>
      </c>
      <c r="G40">
        <v>21.791666666666671</v>
      </c>
      <c r="H40">
        <v>8.4166666666666661</v>
      </c>
      <c r="I40">
        <v>0</v>
      </c>
      <c r="J40">
        <v>0</v>
      </c>
      <c r="K40">
        <v>0</v>
      </c>
      <c r="L40">
        <v>-298.40644672821992</v>
      </c>
      <c r="M40">
        <v>24.05992509789435</v>
      </c>
      <c r="N40">
        <v>28.99716984810081</v>
      </c>
      <c r="O40">
        <v>11.50967013164745</v>
      </c>
      <c r="P40">
        <v>10.738107563544981</v>
      </c>
      <c r="Q40">
        <v>35.569595229541797</v>
      </c>
      <c r="R40">
        <v>30.9215590364695</v>
      </c>
      <c r="S40" t="s">
        <v>29</v>
      </c>
      <c r="T40" t="s">
        <v>30</v>
      </c>
      <c r="U40">
        <v>165</v>
      </c>
      <c r="V40">
        <v>90</v>
      </c>
      <c r="W40" t="s">
        <v>31</v>
      </c>
      <c r="X40">
        <v>1024</v>
      </c>
      <c r="Y40">
        <v>1024</v>
      </c>
      <c r="Z40">
        <v>2400</v>
      </c>
      <c r="AA40">
        <v>39</v>
      </c>
      <c r="AB40" t="s">
        <v>70</v>
      </c>
      <c r="AC40">
        <v>20.566296339035031</v>
      </c>
    </row>
    <row r="41" spans="1:29" x14ac:dyDescent="0.3">
      <c r="A41">
        <v>4.291666666666667</v>
      </c>
      <c r="B41">
        <v>4.208333333333333</v>
      </c>
      <c r="C41">
        <v>4.75</v>
      </c>
      <c r="D41">
        <v>3.916666666666667</v>
      </c>
      <c r="E41">
        <v>12</v>
      </c>
      <c r="F41">
        <v>39.708333333333343</v>
      </c>
      <c r="G41">
        <v>15.83333333333333</v>
      </c>
      <c r="H41">
        <v>14.625</v>
      </c>
      <c r="I41">
        <v>0.66666666666666674</v>
      </c>
      <c r="J41">
        <v>0</v>
      </c>
      <c r="K41">
        <v>0</v>
      </c>
      <c r="L41">
        <v>124.2312133855463</v>
      </c>
      <c r="M41">
        <v>28.84484519399474</v>
      </c>
      <c r="N41">
        <v>32.051784563848429</v>
      </c>
      <c r="O41">
        <v>15.276739124148699</v>
      </c>
      <c r="P41">
        <v>15.436889541941049</v>
      </c>
      <c r="Q41">
        <v>44.121584318143441</v>
      </c>
      <c r="R41">
        <v>35.575475435437838</v>
      </c>
      <c r="S41" t="s">
        <v>29</v>
      </c>
      <c r="T41" t="s">
        <v>30</v>
      </c>
      <c r="U41">
        <v>165</v>
      </c>
      <c r="V41">
        <v>90</v>
      </c>
      <c r="W41" t="s">
        <v>31</v>
      </c>
      <c r="X41">
        <v>1024</v>
      </c>
      <c r="Y41">
        <v>1024</v>
      </c>
      <c r="Z41">
        <v>2400</v>
      </c>
      <c r="AA41">
        <v>40</v>
      </c>
      <c r="AB41" t="s">
        <v>71</v>
      </c>
      <c r="AC41">
        <v>20.524588823318481</v>
      </c>
    </row>
    <row r="42" spans="1:29" x14ac:dyDescent="0.3">
      <c r="A42">
        <v>3.5</v>
      </c>
      <c r="B42">
        <v>5.541666666666667</v>
      </c>
      <c r="C42">
        <v>5.7916666666666661</v>
      </c>
      <c r="D42">
        <v>5.3333333333333339</v>
      </c>
      <c r="E42">
        <v>9</v>
      </c>
      <c r="F42">
        <v>42.375</v>
      </c>
      <c r="G42">
        <v>12.45833333333333</v>
      </c>
      <c r="H42">
        <v>15.33333333333333</v>
      </c>
      <c r="I42">
        <v>0.66666666666666674</v>
      </c>
      <c r="J42">
        <v>0</v>
      </c>
      <c r="K42">
        <v>0</v>
      </c>
      <c r="L42">
        <v>-596.69405343249105</v>
      </c>
      <c r="M42">
        <v>31.03047737559595</v>
      </c>
      <c r="N42">
        <v>31.72792492008924</v>
      </c>
      <c r="O42">
        <v>14.781723611567649</v>
      </c>
      <c r="P42">
        <v>15.60724044814447</v>
      </c>
      <c r="Q42">
        <v>45.8122009871636</v>
      </c>
      <c r="R42">
        <v>35.358834456766481</v>
      </c>
      <c r="S42" t="s">
        <v>29</v>
      </c>
      <c r="T42" t="s">
        <v>30</v>
      </c>
      <c r="U42">
        <v>165</v>
      </c>
      <c r="V42">
        <v>90</v>
      </c>
      <c r="W42" t="s">
        <v>31</v>
      </c>
      <c r="X42">
        <v>1024</v>
      </c>
      <c r="Y42">
        <v>1024</v>
      </c>
      <c r="Z42">
        <v>2400</v>
      </c>
      <c r="AA42">
        <v>41</v>
      </c>
      <c r="AB42" t="s">
        <v>72</v>
      </c>
      <c r="AC42">
        <v>20.648779630661011</v>
      </c>
    </row>
    <row r="43" spans="1:29" x14ac:dyDescent="0.3">
      <c r="A43">
        <v>9.7083333333333321</v>
      </c>
      <c r="B43">
        <v>4.583333333333333</v>
      </c>
      <c r="C43">
        <v>3.833333333333333</v>
      </c>
      <c r="D43">
        <v>4</v>
      </c>
      <c r="E43">
        <v>7.2499999999999991</v>
      </c>
      <c r="F43">
        <v>37.708333333333343</v>
      </c>
      <c r="G43">
        <v>12.95833333333333</v>
      </c>
      <c r="H43">
        <v>18.375</v>
      </c>
      <c r="I43">
        <v>1.583333333333333</v>
      </c>
      <c r="J43">
        <v>0</v>
      </c>
      <c r="K43">
        <v>0</v>
      </c>
      <c r="L43">
        <v>-2683.153845284744</v>
      </c>
      <c r="M43">
        <v>40.811214787143058</v>
      </c>
      <c r="N43">
        <v>39.242451698803983</v>
      </c>
      <c r="O43">
        <v>16.721384954455349</v>
      </c>
      <c r="P43">
        <v>16.246050590031409</v>
      </c>
      <c r="Q43">
        <v>57.532599741598403</v>
      </c>
      <c r="R43">
        <v>42.472393093712327</v>
      </c>
      <c r="S43" t="s">
        <v>29</v>
      </c>
      <c r="T43" t="s">
        <v>30</v>
      </c>
      <c r="U43">
        <v>165</v>
      </c>
      <c r="V43">
        <v>90</v>
      </c>
      <c r="W43" t="s">
        <v>31</v>
      </c>
      <c r="X43">
        <v>1024</v>
      </c>
      <c r="Y43">
        <v>1024</v>
      </c>
      <c r="Z43">
        <v>2400</v>
      </c>
      <c r="AA43">
        <v>42</v>
      </c>
      <c r="AB43" t="s">
        <v>73</v>
      </c>
      <c r="AC43">
        <v>20.414402008056641</v>
      </c>
    </row>
    <row r="44" spans="1:29" x14ac:dyDescent="0.3">
      <c r="A44">
        <v>4.583333333333333</v>
      </c>
      <c r="B44">
        <v>3.666666666666667</v>
      </c>
      <c r="C44">
        <v>4.625</v>
      </c>
      <c r="D44">
        <v>4.9166666666666661</v>
      </c>
      <c r="E44">
        <v>9.75</v>
      </c>
      <c r="F44">
        <v>45.125</v>
      </c>
      <c r="G44">
        <v>10.625</v>
      </c>
      <c r="H44">
        <v>14.33333333333333</v>
      </c>
      <c r="I44">
        <v>2.375</v>
      </c>
      <c r="J44">
        <v>0</v>
      </c>
      <c r="K44">
        <v>0</v>
      </c>
      <c r="L44">
        <v>67.522110358404461</v>
      </c>
      <c r="M44">
        <v>26.880340047843969</v>
      </c>
      <c r="N44">
        <v>32.052728233505412</v>
      </c>
      <c r="O44">
        <v>17.40796539494567</v>
      </c>
      <c r="P44">
        <v>18.800213278967</v>
      </c>
      <c r="Q44">
        <v>44.28830544278965</v>
      </c>
      <c r="R44">
        <v>37.159459179939667</v>
      </c>
      <c r="S44" t="s">
        <v>29</v>
      </c>
      <c r="T44" t="s">
        <v>30</v>
      </c>
      <c r="U44">
        <v>165</v>
      </c>
      <c r="V44">
        <v>90</v>
      </c>
      <c r="W44" t="s">
        <v>31</v>
      </c>
      <c r="X44">
        <v>1024</v>
      </c>
      <c r="Y44">
        <v>1024</v>
      </c>
      <c r="Z44">
        <v>2400</v>
      </c>
      <c r="AA44">
        <v>43</v>
      </c>
      <c r="AB44" t="s">
        <v>74</v>
      </c>
      <c r="AC44">
        <v>20.521258115768429</v>
      </c>
    </row>
    <row r="45" spans="1:29" x14ac:dyDescent="0.3">
      <c r="A45">
        <v>1.416666666666667</v>
      </c>
      <c r="B45">
        <v>3.916666666666667</v>
      </c>
      <c r="C45">
        <v>7.166666666666667</v>
      </c>
      <c r="D45">
        <v>4.75</v>
      </c>
      <c r="E45">
        <v>11.625</v>
      </c>
      <c r="F45">
        <v>43.583333333333343</v>
      </c>
      <c r="G45">
        <v>16.458333333333329</v>
      </c>
      <c r="H45">
        <v>11.08333333333333</v>
      </c>
      <c r="I45">
        <v>0</v>
      </c>
      <c r="J45">
        <v>0</v>
      </c>
      <c r="K45">
        <v>0</v>
      </c>
      <c r="L45">
        <v>111.4681946041692</v>
      </c>
      <c r="M45">
        <v>23.853809500985651</v>
      </c>
      <c r="N45">
        <v>26.42481237695738</v>
      </c>
      <c r="O45">
        <v>11.84791650141435</v>
      </c>
      <c r="P45">
        <v>10.78223313612707</v>
      </c>
      <c r="Q45">
        <v>35.701726002400008</v>
      </c>
      <c r="R45">
        <v>28.539923976058461</v>
      </c>
      <c r="S45" t="s">
        <v>29</v>
      </c>
      <c r="T45" t="s">
        <v>30</v>
      </c>
      <c r="U45">
        <v>165</v>
      </c>
      <c r="V45">
        <v>90</v>
      </c>
      <c r="W45" t="s">
        <v>31</v>
      </c>
      <c r="X45">
        <v>1024</v>
      </c>
      <c r="Y45">
        <v>1024</v>
      </c>
      <c r="Z45">
        <v>2400</v>
      </c>
      <c r="AA45">
        <v>44</v>
      </c>
      <c r="AB45" t="s">
        <v>75</v>
      </c>
      <c r="AC45">
        <v>20.236946821212769</v>
      </c>
    </row>
    <row r="46" spans="1:29" x14ac:dyDescent="0.3">
      <c r="A46">
        <v>4.9166666666666661</v>
      </c>
      <c r="B46">
        <v>4</v>
      </c>
      <c r="C46">
        <v>7.375</v>
      </c>
      <c r="D46">
        <v>4.208333333333333</v>
      </c>
      <c r="E46">
        <v>6.2916666666666661</v>
      </c>
      <c r="F46">
        <v>39.666666666666657</v>
      </c>
      <c r="G46">
        <v>20.083333333333329</v>
      </c>
      <c r="H46">
        <v>13.45833333333333</v>
      </c>
      <c r="I46">
        <v>0</v>
      </c>
      <c r="J46">
        <v>0</v>
      </c>
      <c r="K46">
        <v>0</v>
      </c>
      <c r="L46">
        <v>-523.4143219676364</v>
      </c>
      <c r="M46">
        <v>31.6158382496291</v>
      </c>
      <c r="N46">
        <v>33.590649694211393</v>
      </c>
      <c r="O46">
        <v>14.82095080361273</v>
      </c>
      <c r="P46">
        <v>14.03601963998317</v>
      </c>
      <c r="Q46">
        <v>46.436789053241817</v>
      </c>
      <c r="R46">
        <v>36.405241301400778</v>
      </c>
      <c r="S46" t="s">
        <v>29</v>
      </c>
      <c r="T46" t="s">
        <v>30</v>
      </c>
      <c r="U46">
        <v>165</v>
      </c>
      <c r="V46">
        <v>90</v>
      </c>
      <c r="W46" t="s">
        <v>31</v>
      </c>
      <c r="X46">
        <v>1024</v>
      </c>
      <c r="Y46">
        <v>1024</v>
      </c>
      <c r="Z46">
        <v>2400</v>
      </c>
      <c r="AA46">
        <v>45</v>
      </c>
      <c r="AB46" t="s">
        <v>76</v>
      </c>
      <c r="AC46">
        <v>20.620737552642819</v>
      </c>
    </row>
    <row r="47" spans="1:29" x14ac:dyDescent="0.3">
      <c r="A47">
        <v>6.708333333333333</v>
      </c>
      <c r="B47">
        <v>4.3333333333333339</v>
      </c>
      <c r="C47">
        <v>4.75</v>
      </c>
      <c r="D47">
        <v>4.1666666666666661</v>
      </c>
      <c r="E47">
        <v>9.5</v>
      </c>
      <c r="F47">
        <v>39.5</v>
      </c>
      <c r="G47">
        <v>19.458333333333329</v>
      </c>
      <c r="H47">
        <v>9.6666666666666661</v>
      </c>
      <c r="I47">
        <v>1.916666666666667</v>
      </c>
      <c r="J47">
        <v>0</v>
      </c>
      <c r="K47">
        <v>0</v>
      </c>
      <c r="L47">
        <v>122.3560845299413</v>
      </c>
      <c r="M47">
        <v>34.794721946600077</v>
      </c>
      <c r="N47">
        <v>35.612080559047392</v>
      </c>
      <c r="O47">
        <v>14.481368958574061</v>
      </c>
      <c r="P47">
        <v>15.69720147236505</v>
      </c>
      <c r="Q47">
        <v>49.276090905174136</v>
      </c>
      <c r="R47">
        <v>38.918150210513602</v>
      </c>
      <c r="S47" t="s">
        <v>29</v>
      </c>
      <c r="T47" t="s">
        <v>30</v>
      </c>
      <c r="U47">
        <v>165</v>
      </c>
      <c r="V47">
        <v>90</v>
      </c>
      <c r="W47" t="s">
        <v>31</v>
      </c>
      <c r="X47">
        <v>1024</v>
      </c>
      <c r="Y47">
        <v>1024</v>
      </c>
      <c r="Z47">
        <v>2400</v>
      </c>
      <c r="AA47">
        <v>46</v>
      </c>
      <c r="AB47" t="s">
        <v>77</v>
      </c>
      <c r="AC47">
        <v>20.268452405929569</v>
      </c>
    </row>
    <row r="48" spans="1:29" x14ac:dyDescent="0.3">
      <c r="A48">
        <v>4.875</v>
      </c>
      <c r="B48">
        <v>4.541666666666667</v>
      </c>
      <c r="C48">
        <v>6.4583333333333339</v>
      </c>
      <c r="D48">
        <v>5.416666666666667</v>
      </c>
      <c r="E48">
        <v>10</v>
      </c>
      <c r="F48">
        <v>37.625</v>
      </c>
      <c r="G48">
        <v>17.25</v>
      </c>
      <c r="H48">
        <v>13.83333333333333</v>
      </c>
      <c r="I48">
        <v>0</v>
      </c>
      <c r="J48">
        <v>0</v>
      </c>
      <c r="K48">
        <v>0</v>
      </c>
      <c r="L48">
        <v>-217.92509025641201</v>
      </c>
      <c r="M48">
        <v>31.48122815398159</v>
      </c>
      <c r="N48">
        <v>32.670375783085952</v>
      </c>
      <c r="O48">
        <v>14.766547955254531</v>
      </c>
      <c r="P48">
        <v>13.58948300350337</v>
      </c>
      <c r="Q48">
        <v>46.247776109236113</v>
      </c>
      <c r="R48">
        <v>35.38400065157353</v>
      </c>
      <c r="S48" t="s">
        <v>29</v>
      </c>
      <c r="T48" t="s">
        <v>30</v>
      </c>
      <c r="U48">
        <v>165</v>
      </c>
      <c r="V48">
        <v>90</v>
      </c>
      <c r="W48" t="s">
        <v>31</v>
      </c>
      <c r="X48">
        <v>1024</v>
      </c>
      <c r="Y48">
        <v>1024</v>
      </c>
      <c r="Z48">
        <v>2400</v>
      </c>
      <c r="AA48">
        <v>47</v>
      </c>
      <c r="AB48" t="s">
        <v>78</v>
      </c>
      <c r="AC48">
        <v>20.376735210418701</v>
      </c>
    </row>
    <row r="49" spans="1:29" x14ac:dyDescent="0.3">
      <c r="A49">
        <v>4.541666666666667</v>
      </c>
      <c r="B49">
        <v>3.791666666666667</v>
      </c>
      <c r="C49">
        <v>4.4583333333333339</v>
      </c>
      <c r="D49">
        <v>4.1666666666666661</v>
      </c>
      <c r="E49">
        <v>10.04166666666667</v>
      </c>
      <c r="F49">
        <v>41.166666666666671</v>
      </c>
      <c r="G49">
        <v>17.458333333333339</v>
      </c>
      <c r="H49">
        <v>13.04166666666667</v>
      </c>
      <c r="I49">
        <v>1.333333333333333</v>
      </c>
      <c r="J49">
        <v>0</v>
      </c>
      <c r="K49">
        <v>0</v>
      </c>
      <c r="L49">
        <v>125.5027209655015</v>
      </c>
      <c r="M49">
        <v>28.718805176442611</v>
      </c>
      <c r="N49">
        <v>32.754854295456809</v>
      </c>
      <c r="O49">
        <v>14.363714236957231</v>
      </c>
      <c r="P49">
        <v>14.11639015116018</v>
      </c>
      <c r="Q49">
        <v>43.082519413399837</v>
      </c>
      <c r="R49">
        <v>35.667253199768233</v>
      </c>
      <c r="S49" t="s">
        <v>29</v>
      </c>
      <c r="T49" t="s">
        <v>30</v>
      </c>
      <c r="U49">
        <v>165</v>
      </c>
      <c r="V49">
        <v>90</v>
      </c>
      <c r="W49" t="s">
        <v>31</v>
      </c>
      <c r="X49">
        <v>1024</v>
      </c>
      <c r="Y49">
        <v>1024</v>
      </c>
      <c r="Z49">
        <v>2400</v>
      </c>
      <c r="AA49">
        <v>48</v>
      </c>
      <c r="AB49" t="s">
        <v>79</v>
      </c>
      <c r="AC49">
        <v>20.452307939529419</v>
      </c>
    </row>
    <row r="50" spans="1:29" x14ac:dyDescent="0.3">
      <c r="A50">
        <v>3.416666666666667</v>
      </c>
      <c r="B50">
        <v>5.75</v>
      </c>
      <c r="C50">
        <v>5.458333333333333</v>
      </c>
      <c r="D50">
        <v>4.541666666666667</v>
      </c>
      <c r="E50">
        <v>9.875</v>
      </c>
      <c r="F50">
        <v>44.291666666666671</v>
      </c>
      <c r="G50">
        <v>13.95833333333333</v>
      </c>
      <c r="H50">
        <v>10.70833333333333</v>
      </c>
      <c r="I50">
        <v>2</v>
      </c>
      <c r="J50">
        <v>0</v>
      </c>
      <c r="K50">
        <v>0</v>
      </c>
      <c r="L50">
        <v>-3333.4774205553672</v>
      </c>
      <c r="M50">
        <v>29.603143237607689</v>
      </c>
      <c r="N50">
        <v>31.71849550005857</v>
      </c>
      <c r="O50">
        <v>14.31280035436621</v>
      </c>
      <c r="P50">
        <v>16.26801668762371</v>
      </c>
      <c r="Q50">
        <v>43.9159435919739</v>
      </c>
      <c r="R50">
        <v>35.64703807802325</v>
      </c>
      <c r="S50" t="s">
        <v>29</v>
      </c>
      <c r="T50" t="s">
        <v>30</v>
      </c>
      <c r="U50">
        <v>165</v>
      </c>
      <c r="V50">
        <v>90</v>
      </c>
      <c r="W50" t="s">
        <v>31</v>
      </c>
      <c r="X50">
        <v>1024</v>
      </c>
      <c r="Y50">
        <v>1024</v>
      </c>
      <c r="Z50">
        <v>2400</v>
      </c>
      <c r="AA50">
        <v>49</v>
      </c>
      <c r="AB50" t="s">
        <v>80</v>
      </c>
      <c r="AC50">
        <v>20.547780275344849</v>
      </c>
    </row>
    <row r="51" spans="1:29" x14ac:dyDescent="0.3">
      <c r="A51">
        <v>3.833333333333333</v>
      </c>
      <c r="B51">
        <v>10.20833333333333</v>
      </c>
      <c r="C51">
        <v>9.5416666666666661</v>
      </c>
      <c r="D51">
        <v>3.291666666666667</v>
      </c>
      <c r="E51">
        <v>6.3333333333333339</v>
      </c>
      <c r="F51">
        <v>33.291666666666671</v>
      </c>
      <c r="G51">
        <v>12.33333333333333</v>
      </c>
      <c r="H51">
        <v>21.166666666666671</v>
      </c>
      <c r="I51">
        <v>0</v>
      </c>
      <c r="J51">
        <v>0</v>
      </c>
      <c r="K51">
        <v>0</v>
      </c>
      <c r="L51">
        <v>-1450.906558430416</v>
      </c>
      <c r="M51">
        <v>39.466792942505108</v>
      </c>
      <c r="N51">
        <v>33.107601461632193</v>
      </c>
      <c r="O51">
        <v>18.06783906335729</v>
      </c>
      <c r="P51">
        <v>15.74448969795961</v>
      </c>
      <c r="Q51">
        <v>57.534632005862413</v>
      </c>
      <c r="R51">
        <v>36.660635979091062</v>
      </c>
      <c r="S51" t="s">
        <v>29</v>
      </c>
      <c r="T51" t="s">
        <v>30</v>
      </c>
      <c r="U51">
        <v>165</v>
      </c>
      <c r="V51">
        <v>90</v>
      </c>
      <c r="W51" t="s">
        <v>31</v>
      </c>
      <c r="X51">
        <v>1024</v>
      </c>
      <c r="Y51">
        <v>1024</v>
      </c>
      <c r="Z51">
        <v>2400</v>
      </c>
      <c r="AA51">
        <v>50</v>
      </c>
      <c r="AB51" t="s">
        <v>81</v>
      </c>
      <c r="AC51">
        <v>20.26970648765564</v>
      </c>
    </row>
    <row r="52" spans="1:29" x14ac:dyDescent="0.3">
      <c r="A52">
        <v>8.7083333333333339</v>
      </c>
      <c r="B52">
        <v>2.625</v>
      </c>
      <c r="C52">
        <v>4.083333333333333</v>
      </c>
      <c r="D52">
        <v>3.458333333333333</v>
      </c>
      <c r="E52">
        <v>7.333333333333333</v>
      </c>
      <c r="F52">
        <v>37.583333333333343</v>
      </c>
      <c r="G52">
        <v>16.791666666666661</v>
      </c>
      <c r="H52">
        <v>15.08333333333333</v>
      </c>
      <c r="I52">
        <v>3.583333333333333</v>
      </c>
      <c r="J52">
        <v>0.75</v>
      </c>
      <c r="K52">
        <v>0</v>
      </c>
      <c r="L52">
        <v>-5.4255359643414067</v>
      </c>
      <c r="M52">
        <v>35.260884111424879</v>
      </c>
      <c r="N52">
        <v>38.379168415260082</v>
      </c>
      <c r="O52">
        <v>20.440476669622729</v>
      </c>
      <c r="P52">
        <v>20.275770233413031</v>
      </c>
      <c r="Q52">
        <v>55.701360781047612</v>
      </c>
      <c r="R52">
        <v>43.405845537266693</v>
      </c>
      <c r="S52" t="s">
        <v>29</v>
      </c>
      <c r="T52" t="s">
        <v>30</v>
      </c>
      <c r="U52">
        <v>165</v>
      </c>
      <c r="V52">
        <v>90</v>
      </c>
      <c r="W52" t="s">
        <v>31</v>
      </c>
      <c r="X52">
        <v>1024</v>
      </c>
      <c r="Y52">
        <v>1024</v>
      </c>
      <c r="Z52">
        <v>2400</v>
      </c>
      <c r="AA52">
        <v>51</v>
      </c>
      <c r="AB52" t="s">
        <v>82</v>
      </c>
      <c r="AC52">
        <v>20.49739837646484</v>
      </c>
    </row>
    <row r="53" spans="1:29" x14ac:dyDescent="0.3">
      <c r="A53">
        <v>9.875</v>
      </c>
      <c r="B53">
        <v>5.416666666666667</v>
      </c>
      <c r="C53">
        <v>5.166666666666667</v>
      </c>
      <c r="D53">
        <v>4.958333333333333</v>
      </c>
      <c r="E53">
        <v>6.666666666666667</v>
      </c>
      <c r="F53">
        <v>37.166666666666657</v>
      </c>
      <c r="G53">
        <v>10.58333333333333</v>
      </c>
      <c r="H53">
        <v>17.916666666666671</v>
      </c>
      <c r="I53">
        <v>2.25</v>
      </c>
      <c r="J53">
        <v>0</v>
      </c>
      <c r="K53">
        <v>0</v>
      </c>
      <c r="L53">
        <v>-524.30356585530512</v>
      </c>
      <c r="M53">
        <v>41.662700627104009</v>
      </c>
      <c r="N53">
        <v>38.355102152967078</v>
      </c>
      <c r="O53">
        <v>18.86363326448387</v>
      </c>
      <c r="P53">
        <v>18.531254065995942</v>
      </c>
      <c r="Q53">
        <v>60.526333891587882</v>
      </c>
      <c r="R53">
        <v>42.597197541892719</v>
      </c>
      <c r="S53" t="s">
        <v>29</v>
      </c>
      <c r="T53" t="s">
        <v>30</v>
      </c>
      <c r="U53">
        <v>165</v>
      </c>
      <c r="V53">
        <v>90</v>
      </c>
      <c r="W53" t="s">
        <v>31</v>
      </c>
      <c r="X53">
        <v>1024</v>
      </c>
      <c r="Y53">
        <v>1024</v>
      </c>
      <c r="Z53">
        <v>2400</v>
      </c>
      <c r="AA53">
        <v>52</v>
      </c>
      <c r="AB53" t="s">
        <v>83</v>
      </c>
      <c r="AC53">
        <v>20.47170615196228</v>
      </c>
    </row>
    <row r="54" spans="1:29" x14ac:dyDescent="0.3">
      <c r="A54">
        <v>5.458333333333333</v>
      </c>
      <c r="B54">
        <v>3.25</v>
      </c>
      <c r="C54">
        <v>4.791666666666667</v>
      </c>
      <c r="D54">
        <v>3.708333333333333</v>
      </c>
      <c r="E54">
        <v>11.45833333333333</v>
      </c>
      <c r="F54">
        <v>37.458333333333343</v>
      </c>
      <c r="G54">
        <v>20.416666666666671</v>
      </c>
      <c r="H54">
        <v>11.25</v>
      </c>
      <c r="I54">
        <v>2.208333333333333</v>
      </c>
      <c r="J54">
        <v>0</v>
      </c>
      <c r="K54">
        <v>0</v>
      </c>
      <c r="L54">
        <v>-84.84383442952003</v>
      </c>
      <c r="M54">
        <v>28.819503893624798</v>
      </c>
      <c r="N54">
        <v>33.765224119368547</v>
      </c>
      <c r="O54">
        <v>16.523020789979391</v>
      </c>
      <c r="P54">
        <v>16.835308418471769</v>
      </c>
      <c r="Q54">
        <v>45.342524683604189</v>
      </c>
      <c r="R54">
        <v>37.729537094645814</v>
      </c>
      <c r="S54" t="s">
        <v>29</v>
      </c>
      <c r="T54" t="s">
        <v>30</v>
      </c>
      <c r="U54">
        <v>165</v>
      </c>
      <c r="V54">
        <v>90</v>
      </c>
      <c r="W54" t="s">
        <v>31</v>
      </c>
      <c r="X54">
        <v>1024</v>
      </c>
      <c r="Y54">
        <v>1024</v>
      </c>
      <c r="Z54">
        <v>2400</v>
      </c>
      <c r="AA54">
        <v>53</v>
      </c>
      <c r="AB54" t="s">
        <v>84</v>
      </c>
      <c r="AC54">
        <v>20.728349208831791</v>
      </c>
    </row>
    <row r="55" spans="1:29" x14ac:dyDescent="0.3">
      <c r="A55">
        <v>2.791666666666667</v>
      </c>
      <c r="B55">
        <v>6.3333333333333339</v>
      </c>
      <c r="C55">
        <v>5.0416666666666661</v>
      </c>
      <c r="D55">
        <v>4.583333333333333</v>
      </c>
      <c r="E55">
        <v>10.29166666666667</v>
      </c>
      <c r="F55">
        <v>43.541666666666657</v>
      </c>
      <c r="G55">
        <v>18.416666666666671</v>
      </c>
      <c r="H55">
        <v>9</v>
      </c>
      <c r="I55">
        <v>0</v>
      </c>
      <c r="J55">
        <v>0</v>
      </c>
      <c r="K55">
        <v>0</v>
      </c>
      <c r="L55">
        <v>124.4196393056806</v>
      </c>
      <c r="M55">
        <v>28.572773146842611</v>
      </c>
      <c r="N55">
        <v>31.132419381730731</v>
      </c>
      <c r="O55">
        <v>11.69653306749287</v>
      </c>
      <c r="P55">
        <v>11.70737373606149</v>
      </c>
      <c r="Q55">
        <v>40.269306214335479</v>
      </c>
      <c r="R55">
        <v>33.260940100300623</v>
      </c>
      <c r="S55" t="s">
        <v>29</v>
      </c>
      <c r="T55" t="s">
        <v>30</v>
      </c>
      <c r="U55">
        <v>165</v>
      </c>
      <c r="V55">
        <v>90</v>
      </c>
      <c r="W55" t="s">
        <v>31</v>
      </c>
      <c r="X55">
        <v>1024</v>
      </c>
      <c r="Y55">
        <v>1024</v>
      </c>
      <c r="Z55">
        <v>2400</v>
      </c>
      <c r="AA55">
        <v>54</v>
      </c>
      <c r="AB55" t="s">
        <v>85</v>
      </c>
      <c r="AC55">
        <v>20.31780576705933</v>
      </c>
    </row>
    <row r="56" spans="1:29" x14ac:dyDescent="0.3">
      <c r="A56">
        <v>2.791666666666667</v>
      </c>
      <c r="B56">
        <v>3.875</v>
      </c>
      <c r="C56">
        <v>5.708333333333333</v>
      </c>
      <c r="D56">
        <v>7.1249999999999991</v>
      </c>
      <c r="E56">
        <v>7.6666666666666661</v>
      </c>
      <c r="F56">
        <v>37.375</v>
      </c>
      <c r="G56">
        <v>16.75</v>
      </c>
      <c r="H56">
        <v>17.791666666666671</v>
      </c>
      <c r="I56">
        <v>0.91666666666666663</v>
      </c>
      <c r="J56">
        <v>0</v>
      </c>
      <c r="K56">
        <v>0</v>
      </c>
      <c r="L56">
        <v>-175.55419902023661</v>
      </c>
      <c r="M56">
        <v>27.835313126195992</v>
      </c>
      <c r="N56">
        <v>29.22927884689329</v>
      </c>
      <c r="O56">
        <v>17.19978174209356</v>
      </c>
      <c r="P56">
        <v>15.59554166299578</v>
      </c>
      <c r="Q56">
        <v>45.035094868289548</v>
      </c>
      <c r="R56">
        <v>33.129619099405303</v>
      </c>
      <c r="S56" t="s">
        <v>29</v>
      </c>
      <c r="T56" t="s">
        <v>30</v>
      </c>
      <c r="U56">
        <v>165</v>
      </c>
      <c r="V56">
        <v>90</v>
      </c>
      <c r="W56" t="s">
        <v>31</v>
      </c>
      <c r="X56">
        <v>1024</v>
      </c>
      <c r="Y56">
        <v>1024</v>
      </c>
      <c r="Z56">
        <v>2400</v>
      </c>
      <c r="AA56">
        <v>55</v>
      </c>
      <c r="AB56" t="s">
        <v>86</v>
      </c>
      <c r="AC56">
        <v>20.68247294425964</v>
      </c>
    </row>
    <row r="57" spans="1:29" x14ac:dyDescent="0.3">
      <c r="A57">
        <v>3.291666666666667</v>
      </c>
      <c r="B57">
        <v>2.708333333333333</v>
      </c>
      <c r="C57">
        <v>4.25</v>
      </c>
      <c r="D57">
        <v>7.083333333333333</v>
      </c>
      <c r="E57">
        <v>10.75</v>
      </c>
      <c r="F57">
        <v>45.833333333333329</v>
      </c>
      <c r="G57">
        <v>11.08333333333333</v>
      </c>
      <c r="H57">
        <v>14.20833333333333</v>
      </c>
      <c r="I57">
        <v>0.79166666666666674</v>
      </c>
      <c r="J57">
        <v>0</v>
      </c>
      <c r="K57">
        <v>0</v>
      </c>
      <c r="L57">
        <v>-2969.5568611643162</v>
      </c>
      <c r="M57">
        <v>25.250800976035698</v>
      </c>
      <c r="N57">
        <v>28.776361217813591</v>
      </c>
      <c r="O57">
        <v>14.603324380086089</v>
      </c>
      <c r="P57">
        <v>16.458974834400149</v>
      </c>
      <c r="Q57">
        <v>39.854125356121791</v>
      </c>
      <c r="R57">
        <v>33.150819258918823</v>
      </c>
      <c r="S57" t="s">
        <v>29</v>
      </c>
      <c r="T57" t="s">
        <v>30</v>
      </c>
      <c r="U57">
        <v>165</v>
      </c>
      <c r="V57">
        <v>90</v>
      </c>
      <c r="W57" t="s">
        <v>31</v>
      </c>
      <c r="X57">
        <v>1024</v>
      </c>
      <c r="Y57">
        <v>1024</v>
      </c>
      <c r="Z57">
        <v>2400</v>
      </c>
      <c r="AA57">
        <v>56</v>
      </c>
      <c r="AB57" t="s">
        <v>87</v>
      </c>
      <c r="AC57">
        <v>20.849644660949711</v>
      </c>
    </row>
    <row r="58" spans="1:29" x14ac:dyDescent="0.3">
      <c r="A58">
        <v>5.625</v>
      </c>
      <c r="B58">
        <v>5.3333333333333339</v>
      </c>
      <c r="C58">
        <v>4.541666666666667</v>
      </c>
      <c r="D58">
        <v>5.0416666666666661</v>
      </c>
      <c r="E58">
        <v>8.625</v>
      </c>
      <c r="F58">
        <v>38.5</v>
      </c>
      <c r="G58">
        <v>17.25</v>
      </c>
      <c r="H58">
        <v>10.375</v>
      </c>
      <c r="I58">
        <v>4.708333333333333</v>
      </c>
      <c r="J58">
        <v>0</v>
      </c>
      <c r="K58">
        <v>0</v>
      </c>
      <c r="L58">
        <v>-1020.09789142626</v>
      </c>
      <c r="M58">
        <v>33.016033199199612</v>
      </c>
      <c r="N58">
        <v>34.850084182913932</v>
      </c>
      <c r="O58">
        <v>17.693117457310521</v>
      </c>
      <c r="P58">
        <v>19.385283223603778</v>
      </c>
      <c r="Q58">
        <v>50.709150656510133</v>
      </c>
      <c r="R58">
        <v>39.878786004786079</v>
      </c>
      <c r="S58" t="s">
        <v>29</v>
      </c>
      <c r="T58" t="s">
        <v>30</v>
      </c>
      <c r="U58">
        <v>165</v>
      </c>
      <c r="V58">
        <v>90</v>
      </c>
      <c r="W58" t="s">
        <v>31</v>
      </c>
      <c r="X58">
        <v>1024</v>
      </c>
      <c r="Y58">
        <v>1024</v>
      </c>
      <c r="Z58">
        <v>2400</v>
      </c>
      <c r="AA58">
        <v>57</v>
      </c>
      <c r="AB58" t="s">
        <v>88</v>
      </c>
      <c r="AC58">
        <v>20.409938335418701</v>
      </c>
    </row>
    <row r="59" spans="1:29" x14ac:dyDescent="0.3">
      <c r="A59">
        <v>9.0416666666666679</v>
      </c>
      <c r="B59">
        <v>4</v>
      </c>
      <c r="C59">
        <v>3.791666666666667</v>
      </c>
      <c r="D59">
        <v>3.125</v>
      </c>
      <c r="E59">
        <v>7.75</v>
      </c>
      <c r="F59">
        <v>33.25</v>
      </c>
      <c r="G59">
        <v>17.041666666666661</v>
      </c>
      <c r="H59">
        <v>19.75</v>
      </c>
      <c r="I59">
        <v>2.25</v>
      </c>
      <c r="J59">
        <v>0</v>
      </c>
      <c r="K59">
        <v>0</v>
      </c>
      <c r="L59">
        <v>-236.7565088123101</v>
      </c>
      <c r="M59">
        <v>39.616045922907247</v>
      </c>
      <c r="N59">
        <v>38.770144754346198</v>
      </c>
      <c r="O59">
        <v>18.965537196726039</v>
      </c>
      <c r="P59">
        <v>17.013505340811012</v>
      </c>
      <c r="Q59">
        <v>58.581583119633287</v>
      </c>
      <c r="R59">
        <v>42.338912223329061</v>
      </c>
      <c r="S59" t="s">
        <v>29</v>
      </c>
      <c r="T59" t="s">
        <v>30</v>
      </c>
      <c r="U59">
        <v>165</v>
      </c>
      <c r="V59">
        <v>90</v>
      </c>
      <c r="W59" t="s">
        <v>31</v>
      </c>
      <c r="X59">
        <v>1024</v>
      </c>
      <c r="Y59">
        <v>1024</v>
      </c>
      <c r="Z59">
        <v>2400</v>
      </c>
      <c r="AA59">
        <v>58</v>
      </c>
      <c r="AB59" t="s">
        <v>89</v>
      </c>
      <c r="AC59">
        <v>20.822340965271</v>
      </c>
    </row>
    <row r="60" spans="1:29" x14ac:dyDescent="0.3">
      <c r="A60">
        <v>4.0416666666666661</v>
      </c>
      <c r="B60">
        <v>5.625</v>
      </c>
      <c r="C60">
        <v>6.041666666666667</v>
      </c>
      <c r="D60">
        <v>3.666666666666667</v>
      </c>
      <c r="E60">
        <v>6.5</v>
      </c>
      <c r="F60">
        <v>43.291666666666657</v>
      </c>
      <c r="G60">
        <v>15.08333333333333</v>
      </c>
      <c r="H60">
        <v>15.75</v>
      </c>
      <c r="I60">
        <v>0</v>
      </c>
      <c r="J60">
        <v>0</v>
      </c>
      <c r="K60">
        <v>0</v>
      </c>
      <c r="L60">
        <v>-1786.268910641965</v>
      </c>
      <c r="M60">
        <v>28.808031608384852</v>
      </c>
      <c r="N60">
        <v>33.28035665712401</v>
      </c>
      <c r="O60">
        <v>16.247898546279441</v>
      </c>
      <c r="P60">
        <v>15.09022466332708</v>
      </c>
      <c r="Q60">
        <v>45.055930154664303</v>
      </c>
      <c r="R60">
        <v>36.54171615585485</v>
      </c>
      <c r="S60" t="s">
        <v>29</v>
      </c>
      <c r="T60" t="s">
        <v>30</v>
      </c>
      <c r="U60">
        <v>165</v>
      </c>
      <c r="V60">
        <v>90</v>
      </c>
      <c r="W60" t="s">
        <v>31</v>
      </c>
      <c r="X60">
        <v>1024</v>
      </c>
      <c r="Y60">
        <v>1024</v>
      </c>
      <c r="Z60">
        <v>2400</v>
      </c>
      <c r="AA60">
        <v>59</v>
      </c>
      <c r="AB60" t="s">
        <v>90</v>
      </c>
      <c r="AC60">
        <v>20.73317813873291</v>
      </c>
    </row>
    <row r="61" spans="1:29" x14ac:dyDescent="0.3">
      <c r="A61">
        <v>6.791666666666667</v>
      </c>
      <c r="B61">
        <v>3.416666666666667</v>
      </c>
      <c r="C61">
        <v>5.25</v>
      </c>
      <c r="D61">
        <v>4.833333333333333</v>
      </c>
      <c r="E61">
        <v>7.083333333333333</v>
      </c>
      <c r="F61">
        <v>44.708333333333343</v>
      </c>
      <c r="G61">
        <v>16.875</v>
      </c>
      <c r="H61">
        <v>10.91666666666667</v>
      </c>
      <c r="I61">
        <v>0.125</v>
      </c>
      <c r="J61">
        <v>0</v>
      </c>
      <c r="K61">
        <v>0</v>
      </c>
      <c r="L61">
        <v>111.0446457248149</v>
      </c>
      <c r="M61">
        <v>32.097612016168533</v>
      </c>
      <c r="N61">
        <v>35.390694109651918</v>
      </c>
      <c r="O61">
        <v>13.19593229219344</v>
      </c>
      <c r="P61">
        <v>14.02616361818548</v>
      </c>
      <c r="Q61">
        <v>45.293544308361973</v>
      </c>
      <c r="R61">
        <v>38.068812634583992</v>
      </c>
      <c r="S61" t="s">
        <v>29</v>
      </c>
      <c r="T61" t="s">
        <v>30</v>
      </c>
      <c r="U61">
        <v>165</v>
      </c>
      <c r="V61">
        <v>90</v>
      </c>
      <c r="W61" t="s">
        <v>31</v>
      </c>
      <c r="X61">
        <v>1024</v>
      </c>
      <c r="Y61">
        <v>1024</v>
      </c>
      <c r="Z61">
        <v>2400</v>
      </c>
      <c r="AA61">
        <v>60</v>
      </c>
      <c r="AB61" t="s">
        <v>91</v>
      </c>
      <c r="AC61">
        <v>20.377251863479611</v>
      </c>
    </row>
    <row r="62" spans="1:29" x14ac:dyDescent="0.3">
      <c r="A62">
        <v>6.791666666666667</v>
      </c>
      <c r="B62">
        <v>4.583333333333333</v>
      </c>
      <c r="C62">
        <v>5.9583333333333339</v>
      </c>
      <c r="D62">
        <v>5.166666666666667</v>
      </c>
      <c r="E62">
        <v>8.4166666666666661</v>
      </c>
      <c r="F62">
        <v>36.875</v>
      </c>
      <c r="G62">
        <v>16.333333333333329</v>
      </c>
      <c r="H62">
        <v>15.875</v>
      </c>
      <c r="I62">
        <v>0</v>
      </c>
      <c r="J62">
        <v>0</v>
      </c>
      <c r="K62">
        <v>0</v>
      </c>
      <c r="L62">
        <v>-2014.163190651225</v>
      </c>
      <c r="M62">
        <v>34.745333126359739</v>
      </c>
      <c r="N62">
        <v>35.405099575749922</v>
      </c>
      <c r="O62">
        <v>16.152463412447009</v>
      </c>
      <c r="P62">
        <v>14.44497159068387</v>
      </c>
      <c r="Q62">
        <v>50.897796538806737</v>
      </c>
      <c r="R62">
        <v>38.23843982466375</v>
      </c>
      <c r="S62" t="s">
        <v>29</v>
      </c>
      <c r="T62" t="s">
        <v>30</v>
      </c>
      <c r="U62">
        <v>165</v>
      </c>
      <c r="V62">
        <v>90</v>
      </c>
      <c r="W62" t="s">
        <v>31</v>
      </c>
      <c r="X62">
        <v>1024</v>
      </c>
      <c r="Y62">
        <v>1024</v>
      </c>
      <c r="Z62">
        <v>2400</v>
      </c>
      <c r="AA62">
        <v>61</v>
      </c>
      <c r="AB62" t="s">
        <v>92</v>
      </c>
      <c r="AC62">
        <v>20.172872066497799</v>
      </c>
    </row>
    <row r="63" spans="1:29" x14ac:dyDescent="0.3">
      <c r="A63">
        <v>3.208333333333333</v>
      </c>
      <c r="B63">
        <v>4.375</v>
      </c>
      <c r="C63">
        <v>5.25</v>
      </c>
      <c r="D63">
        <v>7.1249999999999991</v>
      </c>
      <c r="E63">
        <v>8.8333333333333339</v>
      </c>
      <c r="F63">
        <v>36.666666666666657</v>
      </c>
      <c r="G63">
        <v>14.875</v>
      </c>
      <c r="H63">
        <v>14.29166666666667</v>
      </c>
      <c r="I63">
        <v>5.375</v>
      </c>
      <c r="J63">
        <v>0</v>
      </c>
      <c r="K63">
        <v>0</v>
      </c>
      <c r="L63">
        <v>-1636.881118161723</v>
      </c>
      <c r="M63">
        <v>27.437841408129511</v>
      </c>
      <c r="N63">
        <v>30.087900398933709</v>
      </c>
      <c r="O63">
        <v>21.869499435711219</v>
      </c>
      <c r="P63">
        <v>21.609570437045988</v>
      </c>
      <c r="Q63">
        <v>49.307340843840727</v>
      </c>
      <c r="R63">
        <v>37.043964216722372</v>
      </c>
      <c r="S63" t="s">
        <v>29</v>
      </c>
      <c r="T63" t="s">
        <v>30</v>
      </c>
      <c r="U63">
        <v>165</v>
      </c>
      <c r="V63">
        <v>90</v>
      </c>
      <c r="W63" t="s">
        <v>31</v>
      </c>
      <c r="X63">
        <v>1024</v>
      </c>
      <c r="Y63">
        <v>1024</v>
      </c>
      <c r="Z63">
        <v>2400</v>
      </c>
      <c r="AA63">
        <v>62</v>
      </c>
      <c r="AB63" t="s">
        <v>93</v>
      </c>
      <c r="AC63">
        <v>20.18825793266296</v>
      </c>
    </row>
    <row r="64" spans="1:29" x14ac:dyDescent="0.3">
      <c r="A64">
        <v>4.416666666666667</v>
      </c>
      <c r="B64">
        <v>2.916666666666667</v>
      </c>
      <c r="C64">
        <v>3.583333333333333</v>
      </c>
      <c r="D64">
        <v>5.9583333333333339</v>
      </c>
      <c r="E64">
        <v>7.75</v>
      </c>
      <c r="F64">
        <v>43.791666666666657</v>
      </c>
      <c r="G64">
        <v>15.54166666666667</v>
      </c>
      <c r="H64">
        <v>13.70833333333333</v>
      </c>
      <c r="I64">
        <v>1.458333333333333</v>
      </c>
      <c r="J64">
        <v>0.87500000000000011</v>
      </c>
      <c r="K64">
        <v>0</v>
      </c>
      <c r="L64">
        <v>-509.41259019521732</v>
      </c>
      <c r="M64">
        <v>25.647347369742839</v>
      </c>
      <c r="N64">
        <v>31.796790007375719</v>
      </c>
      <c r="O64">
        <v>17.067265292837941</v>
      </c>
      <c r="P64">
        <v>18.306475943325719</v>
      </c>
      <c r="Q64">
        <v>42.714612662580777</v>
      </c>
      <c r="R64">
        <v>36.690092889453297</v>
      </c>
      <c r="S64" t="s">
        <v>29</v>
      </c>
      <c r="T64" t="s">
        <v>30</v>
      </c>
      <c r="U64">
        <v>165</v>
      </c>
      <c r="V64">
        <v>90</v>
      </c>
      <c r="W64" t="s">
        <v>31</v>
      </c>
      <c r="X64">
        <v>1024</v>
      </c>
      <c r="Y64">
        <v>1024</v>
      </c>
      <c r="Z64">
        <v>2400</v>
      </c>
      <c r="AA64">
        <v>63</v>
      </c>
      <c r="AB64" t="s">
        <v>94</v>
      </c>
      <c r="AC64">
        <v>20.431741237640381</v>
      </c>
    </row>
    <row r="65" spans="1:29" x14ac:dyDescent="0.3">
      <c r="A65">
        <v>5.916666666666667</v>
      </c>
      <c r="B65">
        <v>2.666666666666667</v>
      </c>
      <c r="C65">
        <v>5.416666666666667</v>
      </c>
      <c r="D65">
        <v>6.666666666666667</v>
      </c>
      <c r="E65">
        <v>10.75</v>
      </c>
      <c r="F65">
        <v>36.25</v>
      </c>
      <c r="G65">
        <v>14.75</v>
      </c>
      <c r="H65">
        <v>17.125</v>
      </c>
      <c r="I65">
        <v>0.45833333333333331</v>
      </c>
      <c r="J65">
        <v>0</v>
      </c>
      <c r="K65">
        <v>0</v>
      </c>
      <c r="L65">
        <v>-1912.572274980751</v>
      </c>
      <c r="M65">
        <v>30.64448493271524</v>
      </c>
      <c r="N65">
        <v>32.990838302015277</v>
      </c>
      <c r="O65">
        <v>16.663397742883749</v>
      </c>
      <c r="P65">
        <v>15.32182467156572</v>
      </c>
      <c r="Q65">
        <v>47.307882675598989</v>
      </c>
      <c r="R65">
        <v>36.375180042659842</v>
      </c>
      <c r="S65" t="s">
        <v>29</v>
      </c>
      <c r="T65" t="s">
        <v>30</v>
      </c>
      <c r="U65">
        <v>165</v>
      </c>
      <c r="V65">
        <v>90</v>
      </c>
      <c r="W65" t="s">
        <v>31</v>
      </c>
      <c r="X65">
        <v>1024</v>
      </c>
      <c r="Y65">
        <v>1024</v>
      </c>
      <c r="Z65">
        <v>2400</v>
      </c>
      <c r="AA65">
        <v>64</v>
      </c>
      <c r="AB65" t="s">
        <v>95</v>
      </c>
      <c r="AC65">
        <v>20.522404909133911</v>
      </c>
    </row>
    <row r="66" spans="1:29" x14ac:dyDescent="0.3">
      <c r="A66">
        <v>6.2916666666666661</v>
      </c>
      <c r="B66">
        <v>3.5</v>
      </c>
      <c r="C66">
        <v>5.125</v>
      </c>
      <c r="D66">
        <v>5.625</v>
      </c>
      <c r="E66">
        <v>8.75</v>
      </c>
      <c r="F66">
        <v>37.458333333333343</v>
      </c>
      <c r="G66">
        <v>17.416666666666671</v>
      </c>
      <c r="H66">
        <v>14.04166666666667</v>
      </c>
      <c r="I66">
        <v>1.791666666666667</v>
      </c>
      <c r="J66">
        <v>0</v>
      </c>
      <c r="K66">
        <v>0</v>
      </c>
      <c r="L66">
        <v>92.387952107089859</v>
      </c>
      <c r="M66">
        <v>32.252006796095522</v>
      </c>
      <c r="N66">
        <v>34.477980121706118</v>
      </c>
      <c r="O66">
        <v>17.883131532341441</v>
      </c>
      <c r="P66">
        <v>17.610171442443729</v>
      </c>
      <c r="Q66">
        <v>50.135138328436973</v>
      </c>
      <c r="R66">
        <v>38.714974512519348</v>
      </c>
      <c r="S66" t="s">
        <v>29</v>
      </c>
      <c r="T66" t="s">
        <v>30</v>
      </c>
      <c r="U66">
        <v>165</v>
      </c>
      <c r="V66">
        <v>90</v>
      </c>
      <c r="W66" t="s">
        <v>31</v>
      </c>
      <c r="X66">
        <v>1024</v>
      </c>
      <c r="Y66">
        <v>1024</v>
      </c>
      <c r="Z66">
        <v>2400</v>
      </c>
      <c r="AA66">
        <v>65</v>
      </c>
      <c r="AB66" t="s">
        <v>96</v>
      </c>
      <c r="AC66">
        <v>20.5083601474762</v>
      </c>
    </row>
    <row r="67" spans="1:29" x14ac:dyDescent="0.3">
      <c r="A67">
        <v>5</v>
      </c>
      <c r="B67">
        <v>6.2916666666666661</v>
      </c>
      <c r="C67">
        <v>4.9166666666666661</v>
      </c>
      <c r="D67">
        <v>3.916666666666667</v>
      </c>
      <c r="E67">
        <v>9.2916666666666661</v>
      </c>
      <c r="F67">
        <v>38.333333333333343</v>
      </c>
      <c r="G67">
        <v>15.45833333333333</v>
      </c>
      <c r="H67">
        <v>14.875</v>
      </c>
      <c r="I67">
        <v>1.916666666666667</v>
      </c>
      <c r="J67">
        <v>0</v>
      </c>
      <c r="K67">
        <v>0</v>
      </c>
      <c r="L67">
        <v>-2620.8767895585911</v>
      </c>
      <c r="M67">
        <v>33.549313648986107</v>
      </c>
      <c r="N67">
        <v>34.235139609198882</v>
      </c>
      <c r="O67">
        <v>16.636311060900631</v>
      </c>
      <c r="P67">
        <v>16.63250163430218</v>
      </c>
      <c r="Q67">
        <v>50.185624709886739</v>
      </c>
      <c r="R67">
        <v>38.061593433228772</v>
      </c>
      <c r="S67" t="s">
        <v>29</v>
      </c>
      <c r="T67" t="s">
        <v>30</v>
      </c>
      <c r="U67">
        <v>165</v>
      </c>
      <c r="V67">
        <v>90</v>
      </c>
      <c r="W67" t="s">
        <v>31</v>
      </c>
      <c r="X67">
        <v>1024</v>
      </c>
      <c r="Y67">
        <v>1024</v>
      </c>
      <c r="Z67">
        <v>2400</v>
      </c>
      <c r="AA67">
        <v>66</v>
      </c>
      <c r="AB67" t="s">
        <v>97</v>
      </c>
      <c r="AC67">
        <v>20.201556444168091</v>
      </c>
    </row>
    <row r="68" spans="1:29" x14ac:dyDescent="0.3">
      <c r="A68">
        <v>8.8333333333333339</v>
      </c>
      <c r="B68">
        <v>4.791666666666667</v>
      </c>
      <c r="C68">
        <v>5.916666666666667</v>
      </c>
      <c r="D68">
        <v>4.833333333333333</v>
      </c>
      <c r="E68">
        <v>6.583333333333333</v>
      </c>
      <c r="F68">
        <v>38.041666666666671</v>
      </c>
      <c r="G68">
        <v>19.708333333333329</v>
      </c>
      <c r="H68">
        <v>11.29166666666667</v>
      </c>
      <c r="I68">
        <v>0</v>
      </c>
      <c r="J68">
        <v>0</v>
      </c>
      <c r="K68">
        <v>0</v>
      </c>
      <c r="L68">
        <v>104.1133575332755</v>
      </c>
      <c r="M68">
        <v>39.633045954177447</v>
      </c>
      <c r="N68">
        <v>37.659086416351407</v>
      </c>
      <c r="O68">
        <v>13.207976284266509</v>
      </c>
      <c r="P68">
        <v>12.992801209076079</v>
      </c>
      <c r="Q68">
        <v>52.841022238443948</v>
      </c>
      <c r="R68">
        <v>39.837415490626299</v>
      </c>
      <c r="S68" t="s">
        <v>29</v>
      </c>
      <c r="T68" t="s">
        <v>30</v>
      </c>
      <c r="U68">
        <v>165</v>
      </c>
      <c r="V68">
        <v>90</v>
      </c>
      <c r="W68" t="s">
        <v>31</v>
      </c>
      <c r="X68">
        <v>1024</v>
      </c>
      <c r="Y68">
        <v>1024</v>
      </c>
      <c r="Z68">
        <v>2400</v>
      </c>
      <c r="AA68">
        <v>67</v>
      </c>
      <c r="AB68" t="s">
        <v>98</v>
      </c>
      <c r="AC68">
        <v>20.480173587799069</v>
      </c>
    </row>
    <row r="69" spans="1:29" x14ac:dyDescent="0.3">
      <c r="A69">
        <v>3.416666666666667</v>
      </c>
      <c r="B69">
        <v>5.0416666666666661</v>
      </c>
      <c r="C69">
        <v>4.208333333333333</v>
      </c>
      <c r="D69">
        <v>4.583333333333333</v>
      </c>
      <c r="E69">
        <v>10.75</v>
      </c>
      <c r="F69">
        <v>40.125</v>
      </c>
      <c r="G69">
        <v>15.54166666666667</v>
      </c>
      <c r="H69">
        <v>16.333333333333329</v>
      </c>
      <c r="I69">
        <v>0</v>
      </c>
      <c r="J69">
        <v>0</v>
      </c>
      <c r="K69">
        <v>0</v>
      </c>
      <c r="L69">
        <v>-1024.929328533726</v>
      </c>
      <c r="M69">
        <v>27.45811528568786</v>
      </c>
      <c r="N69">
        <v>31.358179715853002</v>
      </c>
      <c r="O69">
        <v>15.90206738626383</v>
      </c>
      <c r="P69">
        <v>14.402293445626929</v>
      </c>
      <c r="Q69">
        <v>43.360182671951698</v>
      </c>
      <c r="R69">
        <v>34.507412125305521</v>
      </c>
      <c r="S69" t="s">
        <v>29</v>
      </c>
      <c r="T69" t="s">
        <v>30</v>
      </c>
      <c r="U69">
        <v>165</v>
      </c>
      <c r="V69">
        <v>90</v>
      </c>
      <c r="W69" t="s">
        <v>31</v>
      </c>
      <c r="X69">
        <v>1024</v>
      </c>
      <c r="Y69">
        <v>1024</v>
      </c>
      <c r="Z69">
        <v>2400</v>
      </c>
      <c r="AA69">
        <v>68</v>
      </c>
      <c r="AB69" t="s">
        <v>99</v>
      </c>
      <c r="AC69">
        <v>20.304490566253659</v>
      </c>
    </row>
    <row r="70" spans="1:29" x14ac:dyDescent="0.3">
      <c r="A70">
        <v>3.708333333333333</v>
      </c>
      <c r="B70">
        <v>1.833333333333333</v>
      </c>
      <c r="C70">
        <v>2.583333333333333</v>
      </c>
      <c r="D70">
        <v>6.916666666666667</v>
      </c>
      <c r="E70">
        <v>11.25</v>
      </c>
      <c r="F70">
        <v>44.625</v>
      </c>
      <c r="G70">
        <v>15.29166666666667</v>
      </c>
      <c r="H70">
        <v>13.04166666666667</v>
      </c>
      <c r="I70">
        <v>0.75</v>
      </c>
      <c r="J70">
        <v>0</v>
      </c>
      <c r="K70">
        <v>0</v>
      </c>
      <c r="L70">
        <v>-4301.5664652911028</v>
      </c>
      <c r="M70">
        <v>21.95973959675948</v>
      </c>
      <c r="N70">
        <v>29.088917228850988</v>
      </c>
      <c r="O70">
        <v>13.98334166856295</v>
      </c>
      <c r="P70">
        <v>14.37790372371971</v>
      </c>
      <c r="Q70">
        <v>35.943081265322427</v>
      </c>
      <c r="R70">
        <v>32.448254514464978</v>
      </c>
      <c r="S70" t="s">
        <v>29</v>
      </c>
      <c r="T70" t="s">
        <v>30</v>
      </c>
      <c r="U70">
        <v>165</v>
      </c>
      <c r="V70">
        <v>90</v>
      </c>
      <c r="W70" t="s">
        <v>31</v>
      </c>
      <c r="X70">
        <v>1024</v>
      </c>
      <c r="Y70">
        <v>1024</v>
      </c>
      <c r="Z70">
        <v>2400</v>
      </c>
      <c r="AA70">
        <v>69</v>
      </c>
      <c r="AB70" t="s">
        <v>100</v>
      </c>
      <c r="AC70">
        <v>20.511747598648071</v>
      </c>
    </row>
    <row r="71" spans="1:29" x14ac:dyDescent="0.3">
      <c r="A71">
        <v>2.916666666666667</v>
      </c>
      <c r="B71">
        <v>2.916666666666667</v>
      </c>
      <c r="C71">
        <v>5.25</v>
      </c>
      <c r="D71">
        <v>5.125</v>
      </c>
      <c r="E71">
        <v>10.375</v>
      </c>
      <c r="F71">
        <v>46.333333333333329</v>
      </c>
      <c r="G71">
        <v>16.833333333333329</v>
      </c>
      <c r="H71">
        <v>8.25</v>
      </c>
      <c r="I71">
        <v>2</v>
      </c>
      <c r="J71">
        <v>0</v>
      </c>
      <c r="K71">
        <v>0</v>
      </c>
      <c r="L71">
        <v>-1035.324767829949</v>
      </c>
      <c r="M71">
        <v>24.010491897492479</v>
      </c>
      <c r="N71">
        <v>28.63364195552494</v>
      </c>
      <c r="O71">
        <v>13.0378353009325</v>
      </c>
      <c r="P71">
        <v>15.8714834800197</v>
      </c>
      <c r="Q71">
        <v>37.048327198424978</v>
      </c>
      <c r="R71">
        <v>32.738195422071399</v>
      </c>
      <c r="S71" t="s">
        <v>29</v>
      </c>
      <c r="T71" t="s">
        <v>30</v>
      </c>
      <c r="U71">
        <v>165</v>
      </c>
      <c r="V71">
        <v>90</v>
      </c>
      <c r="W71" t="s">
        <v>31</v>
      </c>
      <c r="X71">
        <v>1024</v>
      </c>
      <c r="Y71">
        <v>1024</v>
      </c>
      <c r="Z71">
        <v>2400</v>
      </c>
      <c r="AA71">
        <v>70</v>
      </c>
      <c r="AB71" t="s">
        <v>101</v>
      </c>
      <c r="AC71">
        <v>20.478330373764042</v>
      </c>
    </row>
    <row r="72" spans="1:29" x14ac:dyDescent="0.3">
      <c r="A72">
        <v>3.708333333333333</v>
      </c>
      <c r="B72">
        <v>3.25</v>
      </c>
      <c r="C72">
        <v>5</v>
      </c>
      <c r="D72">
        <v>7.625</v>
      </c>
      <c r="E72">
        <v>9.6666666666666661</v>
      </c>
      <c r="F72">
        <v>40.458333333333343</v>
      </c>
      <c r="G72">
        <v>16.5</v>
      </c>
      <c r="H72">
        <v>10.95833333333333</v>
      </c>
      <c r="I72">
        <v>2.833333333333333</v>
      </c>
      <c r="J72">
        <v>0</v>
      </c>
      <c r="K72">
        <v>0</v>
      </c>
      <c r="L72">
        <v>-131.3933760428497</v>
      </c>
      <c r="M72">
        <v>28.074192296608061</v>
      </c>
      <c r="N72">
        <v>30.098368284629739</v>
      </c>
      <c r="O72">
        <v>15.9823460292005</v>
      </c>
      <c r="P72">
        <v>17.757535589413301</v>
      </c>
      <c r="Q72">
        <v>44.05653832580856</v>
      </c>
      <c r="R72">
        <v>34.946270811153589</v>
      </c>
      <c r="S72" t="s">
        <v>29</v>
      </c>
      <c r="T72" t="s">
        <v>30</v>
      </c>
      <c r="U72">
        <v>165</v>
      </c>
      <c r="V72">
        <v>90</v>
      </c>
      <c r="W72" t="s">
        <v>31</v>
      </c>
      <c r="X72">
        <v>1024</v>
      </c>
      <c r="Y72">
        <v>1024</v>
      </c>
      <c r="Z72">
        <v>2400</v>
      </c>
      <c r="AA72">
        <v>71</v>
      </c>
      <c r="AB72" t="s">
        <v>102</v>
      </c>
      <c r="AC72">
        <v>20.697749853134159</v>
      </c>
    </row>
    <row r="73" spans="1:29" x14ac:dyDescent="0.3">
      <c r="A73">
        <v>5.583333333333333</v>
      </c>
      <c r="B73">
        <v>3.041666666666667</v>
      </c>
      <c r="C73">
        <v>4.083333333333333</v>
      </c>
      <c r="D73">
        <v>3.666666666666667</v>
      </c>
      <c r="E73">
        <v>8.625</v>
      </c>
      <c r="F73">
        <v>48.458333333333329</v>
      </c>
      <c r="G73">
        <v>12.58333333333333</v>
      </c>
      <c r="H73">
        <v>12.66666666666667</v>
      </c>
      <c r="I73">
        <v>1.291666666666667</v>
      </c>
      <c r="J73">
        <v>0</v>
      </c>
      <c r="K73">
        <v>0</v>
      </c>
      <c r="L73">
        <v>-367.94309782721461</v>
      </c>
      <c r="M73">
        <v>26.526438011361989</v>
      </c>
      <c r="N73">
        <v>33.741865719478191</v>
      </c>
      <c r="O73">
        <v>14.490525644155319</v>
      </c>
      <c r="P73">
        <v>15.50570904611361</v>
      </c>
      <c r="Q73">
        <v>41.016963655517323</v>
      </c>
      <c r="R73">
        <v>37.134088318605947</v>
      </c>
      <c r="S73" t="s">
        <v>29</v>
      </c>
      <c r="T73" t="s">
        <v>30</v>
      </c>
      <c r="U73">
        <v>165</v>
      </c>
      <c r="V73">
        <v>90</v>
      </c>
      <c r="W73" t="s">
        <v>31</v>
      </c>
      <c r="X73">
        <v>1024</v>
      </c>
      <c r="Y73">
        <v>1024</v>
      </c>
      <c r="Z73">
        <v>2400</v>
      </c>
      <c r="AA73">
        <v>72</v>
      </c>
      <c r="AB73" t="s">
        <v>103</v>
      </c>
      <c r="AC73">
        <v>20.273603439331051</v>
      </c>
    </row>
    <row r="74" spans="1:29" x14ac:dyDescent="0.3">
      <c r="A74">
        <v>4.25</v>
      </c>
      <c r="B74">
        <v>4.083333333333333</v>
      </c>
      <c r="C74">
        <v>4.25</v>
      </c>
      <c r="D74">
        <v>5.75</v>
      </c>
      <c r="E74">
        <v>8.375</v>
      </c>
      <c r="F74">
        <v>43.791666666666657</v>
      </c>
      <c r="G74">
        <v>16.083333333333329</v>
      </c>
      <c r="H74">
        <v>11.41666666666667</v>
      </c>
      <c r="I74">
        <v>2</v>
      </c>
      <c r="J74">
        <v>0</v>
      </c>
      <c r="K74">
        <v>0</v>
      </c>
      <c r="L74">
        <v>121.9563659237988</v>
      </c>
      <c r="M74">
        <v>28.89868169880922</v>
      </c>
      <c r="N74">
        <v>32.22879856131825</v>
      </c>
      <c r="O74">
        <v>14.5352952806047</v>
      </c>
      <c r="P74">
        <v>16.840087934689532</v>
      </c>
      <c r="Q74">
        <v>43.433976979413927</v>
      </c>
      <c r="R74">
        <v>36.363223431842577</v>
      </c>
      <c r="S74" t="s">
        <v>29</v>
      </c>
      <c r="T74" t="s">
        <v>30</v>
      </c>
      <c r="U74">
        <v>165</v>
      </c>
      <c r="V74">
        <v>90</v>
      </c>
      <c r="W74" t="s">
        <v>31</v>
      </c>
      <c r="X74">
        <v>1024</v>
      </c>
      <c r="Y74">
        <v>1024</v>
      </c>
      <c r="Z74">
        <v>2400</v>
      </c>
      <c r="AA74">
        <v>73</v>
      </c>
      <c r="AB74" t="s">
        <v>104</v>
      </c>
      <c r="AC74">
        <v>20.637551307678219</v>
      </c>
    </row>
    <row r="75" spans="1:29" x14ac:dyDescent="0.3">
      <c r="A75">
        <v>3.375</v>
      </c>
      <c r="B75">
        <v>3.25</v>
      </c>
      <c r="C75">
        <v>5.833333333333333</v>
      </c>
      <c r="D75">
        <v>3.791666666666667</v>
      </c>
      <c r="E75">
        <v>10.66666666666667</v>
      </c>
      <c r="F75">
        <v>46.708333333333343</v>
      </c>
      <c r="G75">
        <v>12.83333333333333</v>
      </c>
      <c r="H75">
        <v>12.33333333333333</v>
      </c>
      <c r="I75">
        <v>1.208333333333333</v>
      </c>
      <c r="J75">
        <v>0</v>
      </c>
      <c r="K75">
        <v>0</v>
      </c>
      <c r="L75">
        <v>-11.073113067562639</v>
      </c>
      <c r="M75">
        <v>23.22309200105871</v>
      </c>
      <c r="N75">
        <v>29.582569439489841</v>
      </c>
      <c r="O75">
        <v>15.280510602094131</v>
      </c>
      <c r="P75">
        <v>16.580246895037831</v>
      </c>
      <c r="Q75">
        <v>38.503602603152842</v>
      </c>
      <c r="R75">
        <v>33.912136496284766</v>
      </c>
      <c r="S75" t="s">
        <v>29</v>
      </c>
      <c r="T75" t="s">
        <v>30</v>
      </c>
      <c r="U75">
        <v>165</v>
      </c>
      <c r="V75">
        <v>90</v>
      </c>
      <c r="W75" t="s">
        <v>31</v>
      </c>
      <c r="X75">
        <v>1024</v>
      </c>
      <c r="Y75">
        <v>1024</v>
      </c>
      <c r="Z75">
        <v>2400</v>
      </c>
      <c r="AA75">
        <v>74</v>
      </c>
      <c r="AB75" t="s">
        <v>105</v>
      </c>
      <c r="AC75">
        <v>20.624978303909302</v>
      </c>
    </row>
    <row r="76" spans="1:29" x14ac:dyDescent="0.3">
      <c r="A76">
        <v>4.1666666666666661</v>
      </c>
      <c r="B76">
        <v>4.583333333333333</v>
      </c>
      <c r="C76">
        <v>4</v>
      </c>
      <c r="D76">
        <v>6.0833333333333339</v>
      </c>
      <c r="E76">
        <v>11.70833333333333</v>
      </c>
      <c r="F76">
        <v>36.458333333333329</v>
      </c>
      <c r="G76">
        <v>17.166666666666671</v>
      </c>
      <c r="H76">
        <v>15.83333333333333</v>
      </c>
      <c r="I76">
        <v>0</v>
      </c>
      <c r="J76">
        <v>0</v>
      </c>
      <c r="K76">
        <v>0</v>
      </c>
      <c r="L76">
        <v>-701.32191322176709</v>
      </c>
      <c r="M76">
        <v>29.11121746486744</v>
      </c>
      <c r="N76">
        <v>32.187715026734693</v>
      </c>
      <c r="O76">
        <v>15.363295114524769</v>
      </c>
      <c r="P76">
        <v>13.56727422644051</v>
      </c>
      <c r="Q76">
        <v>44.474512579392197</v>
      </c>
      <c r="R76">
        <v>34.93021512355341</v>
      </c>
      <c r="S76" t="s">
        <v>29</v>
      </c>
      <c r="T76" t="s">
        <v>30</v>
      </c>
      <c r="U76">
        <v>165</v>
      </c>
      <c r="V76">
        <v>90</v>
      </c>
      <c r="W76" t="s">
        <v>31</v>
      </c>
      <c r="X76">
        <v>1024</v>
      </c>
      <c r="Y76">
        <v>1024</v>
      </c>
      <c r="Z76">
        <v>2400</v>
      </c>
      <c r="AA76">
        <v>75</v>
      </c>
      <c r="AB76" t="s">
        <v>106</v>
      </c>
      <c r="AC76">
        <v>20.467974901199341</v>
      </c>
    </row>
    <row r="77" spans="1:29" x14ac:dyDescent="0.3">
      <c r="A77">
        <v>4.666666666666667</v>
      </c>
      <c r="B77">
        <v>3.75</v>
      </c>
      <c r="C77">
        <v>6.5416666666666661</v>
      </c>
      <c r="D77">
        <v>4.3333333333333339</v>
      </c>
      <c r="E77">
        <v>9.2083333333333339</v>
      </c>
      <c r="F77">
        <v>40.583333333333343</v>
      </c>
      <c r="G77">
        <v>15.04166666666667</v>
      </c>
      <c r="H77">
        <v>14.54166666666667</v>
      </c>
      <c r="I77">
        <v>1.333333333333333</v>
      </c>
      <c r="J77">
        <v>0</v>
      </c>
      <c r="K77">
        <v>0</v>
      </c>
      <c r="L77">
        <v>92.829447427094237</v>
      </c>
      <c r="M77">
        <v>29.518213430848292</v>
      </c>
      <c r="N77">
        <v>32.540301974770863</v>
      </c>
      <c r="O77">
        <v>15.939647913703389</v>
      </c>
      <c r="P77">
        <v>15.783746898112391</v>
      </c>
      <c r="Q77">
        <v>45.457861344551681</v>
      </c>
      <c r="R77">
        <v>36.166253866732568</v>
      </c>
      <c r="S77" t="s">
        <v>29</v>
      </c>
      <c r="T77" t="s">
        <v>30</v>
      </c>
      <c r="U77">
        <v>165</v>
      </c>
      <c r="V77">
        <v>90</v>
      </c>
      <c r="W77" t="s">
        <v>31</v>
      </c>
      <c r="X77">
        <v>1024</v>
      </c>
      <c r="Y77">
        <v>1024</v>
      </c>
      <c r="Z77">
        <v>2400</v>
      </c>
      <c r="AA77">
        <v>76</v>
      </c>
      <c r="AB77" t="s">
        <v>107</v>
      </c>
      <c r="AC77">
        <v>20.500705480575562</v>
      </c>
    </row>
    <row r="78" spans="1:29" x14ac:dyDescent="0.3">
      <c r="A78">
        <v>5.916666666666667</v>
      </c>
      <c r="B78">
        <v>4.9166666666666661</v>
      </c>
      <c r="C78">
        <v>6.958333333333333</v>
      </c>
      <c r="D78">
        <v>5.541666666666667</v>
      </c>
      <c r="E78">
        <v>7.7916666666666661</v>
      </c>
      <c r="F78">
        <v>43.375</v>
      </c>
      <c r="G78">
        <v>12.70833333333333</v>
      </c>
      <c r="H78">
        <v>12.79166666666667</v>
      </c>
      <c r="I78">
        <v>0</v>
      </c>
      <c r="J78">
        <v>0</v>
      </c>
      <c r="K78">
        <v>0</v>
      </c>
      <c r="L78">
        <v>-1758.2603403755929</v>
      </c>
      <c r="M78">
        <v>34.83808389976096</v>
      </c>
      <c r="N78">
        <v>34.153493243533809</v>
      </c>
      <c r="O78">
        <v>13.46574620575992</v>
      </c>
      <c r="P78">
        <v>14.625863287668279</v>
      </c>
      <c r="Q78">
        <v>48.303830105520881</v>
      </c>
      <c r="R78">
        <v>37.153424844093067</v>
      </c>
      <c r="S78" t="s">
        <v>29</v>
      </c>
      <c r="T78" t="s">
        <v>30</v>
      </c>
      <c r="U78">
        <v>165</v>
      </c>
      <c r="V78">
        <v>90</v>
      </c>
      <c r="W78" t="s">
        <v>31</v>
      </c>
      <c r="X78">
        <v>1024</v>
      </c>
      <c r="Y78">
        <v>1024</v>
      </c>
      <c r="Z78">
        <v>2400</v>
      </c>
      <c r="AA78">
        <v>77</v>
      </c>
      <c r="AB78" t="s">
        <v>108</v>
      </c>
      <c r="AC78">
        <v>20.547661304473881</v>
      </c>
    </row>
    <row r="79" spans="1:29" x14ac:dyDescent="0.3">
      <c r="A79">
        <v>6.5416666666666661</v>
      </c>
      <c r="B79">
        <v>3.291666666666667</v>
      </c>
      <c r="C79">
        <v>6.375</v>
      </c>
      <c r="D79">
        <v>4.3333333333333339</v>
      </c>
      <c r="E79">
        <v>7.625</v>
      </c>
      <c r="F79">
        <v>42.5</v>
      </c>
      <c r="G79">
        <v>16.875</v>
      </c>
      <c r="H79">
        <v>12.45833333333333</v>
      </c>
      <c r="I79">
        <v>0</v>
      </c>
      <c r="J79">
        <v>0</v>
      </c>
      <c r="K79">
        <v>0</v>
      </c>
      <c r="L79">
        <v>-243.0693050765035</v>
      </c>
      <c r="M79">
        <v>33.310821804876703</v>
      </c>
      <c r="N79">
        <v>35.24438305127407</v>
      </c>
      <c r="O79">
        <v>13.80920112196776</v>
      </c>
      <c r="P79">
        <v>13.75330373475976</v>
      </c>
      <c r="Q79">
        <v>47.120022926844463</v>
      </c>
      <c r="R79">
        <v>37.832788692951141</v>
      </c>
      <c r="S79" t="s">
        <v>29</v>
      </c>
      <c r="T79" t="s">
        <v>30</v>
      </c>
      <c r="U79">
        <v>165</v>
      </c>
      <c r="V79">
        <v>90</v>
      </c>
      <c r="W79" t="s">
        <v>31</v>
      </c>
      <c r="X79">
        <v>1024</v>
      </c>
      <c r="Y79">
        <v>1024</v>
      </c>
      <c r="Z79">
        <v>2400</v>
      </c>
      <c r="AA79">
        <v>78</v>
      </c>
      <c r="AB79" t="s">
        <v>109</v>
      </c>
      <c r="AC79">
        <v>20.405803442001339</v>
      </c>
    </row>
    <row r="80" spans="1:29" x14ac:dyDescent="0.3">
      <c r="A80">
        <v>6.666666666666667</v>
      </c>
      <c r="B80">
        <v>4.3333333333333339</v>
      </c>
      <c r="C80">
        <v>3.541666666666667</v>
      </c>
      <c r="D80">
        <v>4.416666666666667</v>
      </c>
      <c r="E80">
        <v>8.125</v>
      </c>
      <c r="F80">
        <v>42</v>
      </c>
      <c r="G80">
        <v>14.29166666666667</v>
      </c>
      <c r="H80">
        <v>16.625</v>
      </c>
      <c r="I80">
        <v>0</v>
      </c>
      <c r="J80">
        <v>0</v>
      </c>
      <c r="K80">
        <v>0</v>
      </c>
      <c r="L80">
        <v>121.7432531837874</v>
      </c>
      <c r="M80">
        <v>31.635478818098321</v>
      </c>
      <c r="N80">
        <v>35.934867793073437</v>
      </c>
      <c r="O80">
        <v>15.50926673476329</v>
      </c>
      <c r="P80">
        <v>14.73012019085929</v>
      </c>
      <c r="Q80">
        <v>47.144745552861608</v>
      </c>
      <c r="R80">
        <v>38.836724426022691</v>
      </c>
      <c r="S80" t="s">
        <v>29</v>
      </c>
      <c r="T80" t="s">
        <v>30</v>
      </c>
      <c r="U80">
        <v>165</v>
      </c>
      <c r="V80">
        <v>90</v>
      </c>
      <c r="W80" t="s">
        <v>31</v>
      </c>
      <c r="X80">
        <v>1024</v>
      </c>
      <c r="Y80">
        <v>1024</v>
      </c>
      <c r="Z80">
        <v>2400</v>
      </c>
      <c r="AA80">
        <v>79</v>
      </c>
      <c r="AB80" t="s">
        <v>110</v>
      </c>
      <c r="AC80">
        <v>20.58965969085693</v>
      </c>
    </row>
    <row r="81" spans="1:29" x14ac:dyDescent="0.3">
      <c r="A81">
        <v>4.4583333333333339</v>
      </c>
      <c r="B81">
        <v>3.541666666666667</v>
      </c>
      <c r="C81">
        <v>4.125</v>
      </c>
      <c r="D81">
        <v>4.208333333333333</v>
      </c>
      <c r="E81">
        <v>9.2083333333333339</v>
      </c>
      <c r="F81">
        <v>42.75</v>
      </c>
      <c r="G81">
        <v>15.95833333333333</v>
      </c>
      <c r="H81">
        <v>13.04166666666667</v>
      </c>
      <c r="I81">
        <v>2.708333333333333</v>
      </c>
      <c r="J81">
        <v>0</v>
      </c>
      <c r="K81">
        <v>0</v>
      </c>
      <c r="L81">
        <v>-4601.3112839443347</v>
      </c>
      <c r="M81">
        <v>26.8584540842769</v>
      </c>
      <c r="N81">
        <v>32.404255213983411</v>
      </c>
      <c r="O81">
        <v>16.943403405858511</v>
      </c>
      <c r="P81">
        <v>17.913859090848629</v>
      </c>
      <c r="Q81">
        <v>43.801857490135411</v>
      </c>
      <c r="R81">
        <v>37.02623534063045</v>
      </c>
      <c r="S81" t="s">
        <v>29</v>
      </c>
      <c r="T81" t="s">
        <v>30</v>
      </c>
      <c r="U81">
        <v>165</v>
      </c>
      <c r="V81">
        <v>90</v>
      </c>
      <c r="W81" t="s">
        <v>31</v>
      </c>
      <c r="X81">
        <v>1024</v>
      </c>
      <c r="Y81">
        <v>1024</v>
      </c>
      <c r="Z81">
        <v>2400</v>
      </c>
      <c r="AA81">
        <v>80</v>
      </c>
      <c r="AB81" t="s">
        <v>111</v>
      </c>
      <c r="AC81">
        <v>20.28938364982605</v>
      </c>
    </row>
    <row r="82" spans="1:29" x14ac:dyDescent="0.3">
      <c r="A82">
        <v>3.791666666666667</v>
      </c>
      <c r="B82">
        <v>1.333333333333333</v>
      </c>
      <c r="C82">
        <v>2.541666666666667</v>
      </c>
      <c r="D82">
        <v>4.375</v>
      </c>
      <c r="E82">
        <v>10.20833333333333</v>
      </c>
      <c r="F82">
        <v>46.833333333333343</v>
      </c>
      <c r="G82">
        <v>17.083333333333329</v>
      </c>
      <c r="H82">
        <v>13.83333333333333</v>
      </c>
      <c r="I82">
        <v>0</v>
      </c>
      <c r="J82">
        <v>0</v>
      </c>
      <c r="K82">
        <v>0</v>
      </c>
      <c r="L82">
        <v>-1012.684889767477</v>
      </c>
      <c r="M82">
        <v>21.193366683458201</v>
      </c>
      <c r="N82">
        <v>29.387722864410961</v>
      </c>
      <c r="O82">
        <v>13.66094127341051</v>
      </c>
      <c r="P82">
        <v>12.592475927058411</v>
      </c>
      <c r="Q82">
        <v>34.854307956868723</v>
      </c>
      <c r="R82">
        <v>31.971998766560851</v>
      </c>
      <c r="S82" t="s">
        <v>29</v>
      </c>
      <c r="T82" t="s">
        <v>30</v>
      </c>
      <c r="U82">
        <v>165</v>
      </c>
      <c r="V82">
        <v>90</v>
      </c>
      <c r="W82" t="s">
        <v>31</v>
      </c>
      <c r="X82">
        <v>1024</v>
      </c>
      <c r="Y82">
        <v>1024</v>
      </c>
      <c r="Z82">
        <v>2400</v>
      </c>
      <c r="AA82">
        <v>81</v>
      </c>
      <c r="AB82" t="s">
        <v>112</v>
      </c>
      <c r="AC82">
        <v>20.28780364990234</v>
      </c>
    </row>
    <row r="83" spans="1:29" x14ac:dyDescent="0.3">
      <c r="A83">
        <v>3.791666666666667</v>
      </c>
      <c r="B83">
        <v>3.666666666666667</v>
      </c>
      <c r="C83">
        <v>3.583333333333333</v>
      </c>
      <c r="D83">
        <v>5.375</v>
      </c>
      <c r="E83">
        <v>8.875</v>
      </c>
      <c r="F83">
        <v>46.708333333333343</v>
      </c>
      <c r="G83">
        <v>13.08333333333333</v>
      </c>
      <c r="H83">
        <v>14.70833333333333</v>
      </c>
      <c r="I83">
        <v>0.20833333333333329</v>
      </c>
      <c r="J83">
        <v>0</v>
      </c>
      <c r="K83">
        <v>0</v>
      </c>
      <c r="L83">
        <v>-1374.08908028474</v>
      </c>
      <c r="M83">
        <v>26.235699385706329</v>
      </c>
      <c r="N83">
        <v>31.269182355031479</v>
      </c>
      <c r="O83">
        <v>13.80374894944571</v>
      </c>
      <c r="P83">
        <v>14.164149312802021</v>
      </c>
      <c r="Q83">
        <v>40.039448335152038</v>
      </c>
      <c r="R83">
        <v>34.327611203047063</v>
      </c>
      <c r="S83" t="s">
        <v>29</v>
      </c>
      <c r="T83" t="s">
        <v>30</v>
      </c>
      <c r="U83">
        <v>165</v>
      </c>
      <c r="V83">
        <v>90</v>
      </c>
      <c r="W83" t="s">
        <v>31</v>
      </c>
      <c r="X83">
        <v>1024</v>
      </c>
      <c r="Y83">
        <v>1024</v>
      </c>
      <c r="Z83">
        <v>2400</v>
      </c>
      <c r="AA83">
        <v>82</v>
      </c>
      <c r="AB83" t="s">
        <v>113</v>
      </c>
      <c r="AC83">
        <v>20.697496891021729</v>
      </c>
    </row>
    <row r="84" spans="1:29" x14ac:dyDescent="0.3">
      <c r="A84">
        <v>3.708333333333333</v>
      </c>
      <c r="B84">
        <v>3.333333333333333</v>
      </c>
      <c r="C84">
        <v>2.833333333333333</v>
      </c>
      <c r="D84">
        <v>3.833333333333333</v>
      </c>
      <c r="E84">
        <v>12.125</v>
      </c>
      <c r="F84">
        <v>48.041666666666657</v>
      </c>
      <c r="G84">
        <v>12.33333333333333</v>
      </c>
      <c r="H84">
        <v>13.79166666666667</v>
      </c>
      <c r="I84">
        <v>0</v>
      </c>
      <c r="J84">
        <v>0</v>
      </c>
      <c r="K84">
        <v>0</v>
      </c>
      <c r="L84">
        <v>-2128.8037059802059</v>
      </c>
      <c r="M84">
        <v>23.595229373233838</v>
      </c>
      <c r="N84">
        <v>30.542967433132279</v>
      </c>
      <c r="O84">
        <v>12.637388389638801</v>
      </c>
      <c r="P84">
        <v>12.890010359290351</v>
      </c>
      <c r="Q84">
        <v>36.232617762872643</v>
      </c>
      <c r="R84">
        <v>33.151549385873231</v>
      </c>
      <c r="S84" t="s">
        <v>29</v>
      </c>
      <c r="T84" t="s">
        <v>30</v>
      </c>
      <c r="U84">
        <v>165</v>
      </c>
      <c r="V84">
        <v>90</v>
      </c>
      <c r="W84" t="s">
        <v>31</v>
      </c>
      <c r="X84">
        <v>1024</v>
      </c>
      <c r="Y84">
        <v>1024</v>
      </c>
      <c r="Z84">
        <v>2400</v>
      </c>
      <c r="AA84">
        <v>83</v>
      </c>
      <c r="AB84" t="s">
        <v>114</v>
      </c>
      <c r="AC84">
        <v>20.430134773254391</v>
      </c>
    </row>
    <row r="85" spans="1:29" x14ac:dyDescent="0.3">
      <c r="A85">
        <v>6.166666666666667</v>
      </c>
      <c r="B85">
        <v>5.083333333333333</v>
      </c>
      <c r="C85">
        <v>5.2083333333333339</v>
      </c>
      <c r="D85">
        <v>4.875</v>
      </c>
      <c r="E85">
        <v>8.0416666666666661</v>
      </c>
      <c r="F85">
        <v>40.125</v>
      </c>
      <c r="G85">
        <v>16.958333333333329</v>
      </c>
      <c r="H85">
        <v>12.29166666666667</v>
      </c>
      <c r="I85">
        <v>1.25</v>
      </c>
      <c r="J85">
        <v>0</v>
      </c>
      <c r="K85">
        <v>0</v>
      </c>
      <c r="L85">
        <v>110.5792183836782</v>
      </c>
      <c r="M85">
        <v>34.995732279184537</v>
      </c>
      <c r="N85">
        <v>35.512830085940607</v>
      </c>
      <c r="O85">
        <v>14.621039110100639</v>
      </c>
      <c r="P85">
        <v>15.64791074232634</v>
      </c>
      <c r="Q85">
        <v>49.616771389285191</v>
      </c>
      <c r="R85">
        <v>38.80745046138307</v>
      </c>
      <c r="S85" t="s">
        <v>29</v>
      </c>
      <c r="T85" t="s">
        <v>30</v>
      </c>
      <c r="U85">
        <v>165</v>
      </c>
      <c r="V85">
        <v>90</v>
      </c>
      <c r="W85" t="s">
        <v>31</v>
      </c>
      <c r="X85">
        <v>1024</v>
      </c>
      <c r="Y85">
        <v>1024</v>
      </c>
      <c r="Z85">
        <v>2400</v>
      </c>
      <c r="AA85">
        <v>84</v>
      </c>
      <c r="AB85" t="s">
        <v>115</v>
      </c>
      <c r="AC85">
        <v>20.442231893539429</v>
      </c>
    </row>
    <row r="86" spans="1:29" x14ac:dyDescent="0.3">
      <c r="A86">
        <v>5.458333333333333</v>
      </c>
      <c r="B86">
        <v>3.166666666666667</v>
      </c>
      <c r="C86">
        <v>4.625</v>
      </c>
      <c r="D86">
        <v>4.5</v>
      </c>
      <c r="E86">
        <v>12.41666666666667</v>
      </c>
      <c r="F86">
        <v>39.875</v>
      </c>
      <c r="G86">
        <v>17.208333333333329</v>
      </c>
      <c r="H86">
        <v>11.58333333333333</v>
      </c>
      <c r="I86">
        <v>1.166666666666667</v>
      </c>
      <c r="J86">
        <v>0</v>
      </c>
      <c r="K86">
        <v>0</v>
      </c>
      <c r="L86">
        <v>-294.24731053506929</v>
      </c>
      <c r="M86">
        <v>28.87211821004248</v>
      </c>
      <c r="N86">
        <v>32.853911166464442</v>
      </c>
      <c r="O86">
        <v>15.29780302715737</v>
      </c>
      <c r="P86">
        <v>15.97965054934855</v>
      </c>
      <c r="Q86">
        <v>44.169921237199837</v>
      </c>
      <c r="R86">
        <v>36.533939160912169</v>
      </c>
      <c r="S86" t="s">
        <v>29</v>
      </c>
      <c r="T86" t="s">
        <v>30</v>
      </c>
      <c r="U86">
        <v>165</v>
      </c>
      <c r="V86">
        <v>90</v>
      </c>
      <c r="W86" t="s">
        <v>31</v>
      </c>
      <c r="X86">
        <v>1024</v>
      </c>
      <c r="Y86">
        <v>1024</v>
      </c>
      <c r="Z86">
        <v>2400</v>
      </c>
      <c r="AA86">
        <v>85</v>
      </c>
      <c r="AB86" t="s">
        <v>116</v>
      </c>
      <c r="AC86">
        <v>20.37674713134766</v>
      </c>
    </row>
    <row r="87" spans="1:29" x14ac:dyDescent="0.3">
      <c r="A87">
        <v>8.5</v>
      </c>
      <c r="B87">
        <v>2.416666666666667</v>
      </c>
      <c r="C87">
        <v>2.791666666666667</v>
      </c>
      <c r="D87">
        <v>3.833333333333333</v>
      </c>
      <c r="E87">
        <v>8.9583333333333339</v>
      </c>
      <c r="F87">
        <v>43.375</v>
      </c>
      <c r="G87">
        <v>15.20833333333333</v>
      </c>
      <c r="H87">
        <v>14.91666666666667</v>
      </c>
      <c r="I87">
        <v>0</v>
      </c>
      <c r="J87">
        <v>0</v>
      </c>
      <c r="K87">
        <v>0</v>
      </c>
      <c r="L87">
        <v>-781.07570682960682</v>
      </c>
      <c r="M87">
        <v>32.12751822524281</v>
      </c>
      <c r="N87">
        <v>37.933946899741002</v>
      </c>
      <c r="O87">
        <v>13.786434157924569</v>
      </c>
      <c r="P87">
        <v>13.18443168883122</v>
      </c>
      <c r="Q87">
        <v>45.913952383167377</v>
      </c>
      <c r="R87">
        <v>40.159850178378733</v>
      </c>
      <c r="S87" t="s">
        <v>29</v>
      </c>
      <c r="T87" t="s">
        <v>30</v>
      </c>
      <c r="U87">
        <v>165</v>
      </c>
      <c r="V87">
        <v>90</v>
      </c>
      <c r="W87" t="s">
        <v>31</v>
      </c>
      <c r="X87">
        <v>1024</v>
      </c>
      <c r="Y87">
        <v>1024</v>
      </c>
      <c r="Z87">
        <v>2400</v>
      </c>
      <c r="AA87">
        <v>86</v>
      </c>
      <c r="AB87" t="s">
        <v>117</v>
      </c>
      <c r="AC87">
        <v>20.29912447929382</v>
      </c>
    </row>
    <row r="88" spans="1:29" x14ac:dyDescent="0.3">
      <c r="A88">
        <v>5.2083333333333339</v>
      </c>
      <c r="B88">
        <v>4.5</v>
      </c>
      <c r="C88">
        <v>4.583333333333333</v>
      </c>
      <c r="D88">
        <v>7.166666666666667</v>
      </c>
      <c r="E88">
        <v>10.91666666666667</v>
      </c>
      <c r="F88">
        <v>34.416666666666657</v>
      </c>
      <c r="G88">
        <v>18.791666666666671</v>
      </c>
      <c r="H88">
        <v>12.70833333333333</v>
      </c>
      <c r="I88">
        <v>1.708333333333333</v>
      </c>
      <c r="J88">
        <v>0</v>
      </c>
      <c r="K88">
        <v>0</v>
      </c>
      <c r="L88">
        <v>-211.52556036046079</v>
      </c>
      <c r="M88">
        <v>31.180400999685471</v>
      </c>
      <c r="N88">
        <v>32.395955209416051</v>
      </c>
      <c r="O88">
        <v>16.827696965434701</v>
      </c>
      <c r="P88">
        <v>16.220354251984968</v>
      </c>
      <c r="Q88">
        <v>48.008097965120172</v>
      </c>
      <c r="R88">
        <v>36.229791691236343</v>
      </c>
      <c r="S88" t="s">
        <v>29</v>
      </c>
      <c r="T88" t="s">
        <v>30</v>
      </c>
      <c r="U88">
        <v>165</v>
      </c>
      <c r="V88">
        <v>90</v>
      </c>
      <c r="W88" t="s">
        <v>31</v>
      </c>
      <c r="X88">
        <v>1024</v>
      </c>
      <c r="Y88">
        <v>1024</v>
      </c>
      <c r="Z88">
        <v>2400</v>
      </c>
      <c r="AA88">
        <v>87</v>
      </c>
      <c r="AB88" t="s">
        <v>118</v>
      </c>
      <c r="AC88">
        <v>20.577085256576542</v>
      </c>
    </row>
    <row r="89" spans="1:29" x14ac:dyDescent="0.3">
      <c r="A89">
        <v>3</v>
      </c>
      <c r="B89">
        <v>3.125</v>
      </c>
      <c r="C89">
        <v>6.2916666666666661</v>
      </c>
      <c r="D89">
        <v>5</v>
      </c>
      <c r="E89">
        <v>10.04166666666667</v>
      </c>
      <c r="F89">
        <v>42.458333333333329</v>
      </c>
      <c r="G89">
        <v>16.541666666666661</v>
      </c>
      <c r="H89">
        <v>12.29166666666667</v>
      </c>
      <c r="I89">
        <v>1.25</v>
      </c>
      <c r="J89">
        <v>0</v>
      </c>
      <c r="K89">
        <v>0</v>
      </c>
      <c r="L89">
        <v>-544.72040864614178</v>
      </c>
      <c r="M89">
        <v>26.773986462412299</v>
      </c>
      <c r="N89">
        <v>29.25125817494202</v>
      </c>
      <c r="O89">
        <v>14.44505261534194</v>
      </c>
      <c r="P89">
        <v>14.852232749189531</v>
      </c>
      <c r="Q89">
        <v>41.219039077754232</v>
      </c>
      <c r="R89">
        <v>32.805867195567473</v>
      </c>
      <c r="S89" t="s">
        <v>29</v>
      </c>
      <c r="T89" t="s">
        <v>30</v>
      </c>
      <c r="U89">
        <v>165</v>
      </c>
      <c r="V89">
        <v>90</v>
      </c>
      <c r="W89" t="s">
        <v>31</v>
      </c>
      <c r="X89">
        <v>1024</v>
      </c>
      <c r="Y89">
        <v>1024</v>
      </c>
      <c r="Z89">
        <v>2400</v>
      </c>
      <c r="AA89">
        <v>88</v>
      </c>
      <c r="AB89" t="s">
        <v>119</v>
      </c>
      <c r="AC89">
        <v>20.802240371704102</v>
      </c>
    </row>
    <row r="90" spans="1:29" x14ac:dyDescent="0.3">
      <c r="A90">
        <v>6.2916666666666661</v>
      </c>
      <c r="B90">
        <v>5.166666666666667</v>
      </c>
      <c r="C90">
        <v>5.125</v>
      </c>
      <c r="D90">
        <v>4.625</v>
      </c>
      <c r="E90">
        <v>7.6666666666666661</v>
      </c>
      <c r="F90">
        <v>41.625</v>
      </c>
      <c r="G90">
        <v>14.75</v>
      </c>
      <c r="H90">
        <v>14.75</v>
      </c>
      <c r="I90">
        <v>0</v>
      </c>
      <c r="J90">
        <v>0</v>
      </c>
      <c r="K90">
        <v>0</v>
      </c>
      <c r="L90">
        <v>-852.75083993311159</v>
      </c>
      <c r="M90">
        <v>31.796578203769531</v>
      </c>
      <c r="N90">
        <v>35.277074458895562</v>
      </c>
      <c r="O90">
        <v>14.651138855753331</v>
      </c>
      <c r="P90">
        <v>13.319756261669189</v>
      </c>
      <c r="Q90">
        <v>46.447717059522859</v>
      </c>
      <c r="R90">
        <v>37.707928731882589</v>
      </c>
      <c r="S90" t="s">
        <v>29</v>
      </c>
      <c r="T90" t="s">
        <v>30</v>
      </c>
      <c r="U90">
        <v>165</v>
      </c>
      <c r="V90">
        <v>90</v>
      </c>
      <c r="W90" t="s">
        <v>31</v>
      </c>
      <c r="X90">
        <v>1024</v>
      </c>
      <c r="Y90">
        <v>1024</v>
      </c>
      <c r="Z90">
        <v>2400</v>
      </c>
      <c r="AA90">
        <v>89</v>
      </c>
      <c r="AB90" t="s">
        <v>120</v>
      </c>
      <c r="AC90">
        <v>20.287817716598511</v>
      </c>
    </row>
    <row r="91" spans="1:29" x14ac:dyDescent="0.3">
      <c r="A91">
        <v>7.4583333333333339</v>
      </c>
      <c r="B91">
        <v>2</v>
      </c>
      <c r="C91">
        <v>3.208333333333333</v>
      </c>
      <c r="D91">
        <v>4.875</v>
      </c>
      <c r="E91">
        <v>9.4166666666666661</v>
      </c>
      <c r="F91">
        <v>39.75</v>
      </c>
      <c r="G91">
        <v>13.875</v>
      </c>
      <c r="H91">
        <v>19.416666666666661</v>
      </c>
      <c r="I91">
        <v>0</v>
      </c>
      <c r="J91">
        <v>0</v>
      </c>
      <c r="K91">
        <v>0</v>
      </c>
      <c r="L91">
        <v>-1179.5294262347211</v>
      </c>
      <c r="M91">
        <v>31.419580471258161</v>
      </c>
      <c r="N91">
        <v>36.315184817898853</v>
      </c>
      <c r="O91">
        <v>16.730483402720999</v>
      </c>
      <c r="P91">
        <v>15.32646042247443</v>
      </c>
      <c r="Q91">
        <v>48.150063873979157</v>
      </c>
      <c r="R91">
        <v>39.416913088670789</v>
      </c>
      <c r="S91" t="s">
        <v>29</v>
      </c>
      <c r="T91" t="s">
        <v>30</v>
      </c>
      <c r="U91">
        <v>165</v>
      </c>
      <c r="V91">
        <v>90</v>
      </c>
      <c r="W91" t="s">
        <v>31</v>
      </c>
      <c r="X91">
        <v>1024</v>
      </c>
      <c r="Y91">
        <v>1024</v>
      </c>
      <c r="Z91">
        <v>2400</v>
      </c>
      <c r="AA91">
        <v>90</v>
      </c>
      <c r="AB91" t="s">
        <v>121</v>
      </c>
      <c r="AC91">
        <v>20.669954061508179</v>
      </c>
    </row>
    <row r="92" spans="1:29" x14ac:dyDescent="0.3">
      <c r="A92">
        <v>2.208333333333333</v>
      </c>
      <c r="B92">
        <v>5</v>
      </c>
      <c r="C92">
        <v>7.416666666666667</v>
      </c>
      <c r="D92">
        <v>6.375</v>
      </c>
      <c r="E92">
        <v>8.0833333333333321</v>
      </c>
      <c r="F92">
        <v>38.75</v>
      </c>
      <c r="G92">
        <v>18.875</v>
      </c>
      <c r="H92">
        <v>11.625</v>
      </c>
      <c r="I92">
        <v>1.666666666666667</v>
      </c>
      <c r="J92">
        <v>0</v>
      </c>
      <c r="K92">
        <v>0</v>
      </c>
      <c r="L92">
        <v>-862.52720143988677</v>
      </c>
      <c r="M92">
        <v>27.99183137030581</v>
      </c>
      <c r="N92">
        <v>28.543529192263652</v>
      </c>
      <c r="O92">
        <v>14.75722955646472</v>
      </c>
      <c r="P92">
        <v>14.809703153266669</v>
      </c>
      <c r="Q92">
        <v>42.749060926770532</v>
      </c>
      <c r="R92">
        <v>32.15680901826989</v>
      </c>
      <c r="S92" t="s">
        <v>29</v>
      </c>
      <c r="T92" t="s">
        <v>30</v>
      </c>
      <c r="U92">
        <v>165</v>
      </c>
      <c r="V92">
        <v>90</v>
      </c>
      <c r="W92" t="s">
        <v>31</v>
      </c>
      <c r="X92">
        <v>1024</v>
      </c>
      <c r="Y92">
        <v>1024</v>
      </c>
      <c r="Z92">
        <v>2400</v>
      </c>
      <c r="AA92">
        <v>91</v>
      </c>
      <c r="AB92" t="s">
        <v>122</v>
      </c>
      <c r="AC92">
        <v>20.909805774688721</v>
      </c>
    </row>
    <row r="93" spans="1:29" x14ac:dyDescent="0.3">
      <c r="A93">
        <v>7.208333333333333</v>
      </c>
      <c r="B93">
        <v>3.25</v>
      </c>
      <c r="C93">
        <v>3.416666666666667</v>
      </c>
      <c r="D93">
        <v>5.416666666666667</v>
      </c>
      <c r="E93">
        <v>10.95833333333333</v>
      </c>
      <c r="F93">
        <v>43.125</v>
      </c>
      <c r="G93">
        <v>13.58333333333333</v>
      </c>
      <c r="H93">
        <v>11.58333333333333</v>
      </c>
      <c r="I93">
        <v>1.458333333333333</v>
      </c>
      <c r="J93">
        <v>0</v>
      </c>
      <c r="K93">
        <v>0</v>
      </c>
      <c r="L93">
        <v>74.127456218871657</v>
      </c>
      <c r="M93">
        <v>31.027474544046321</v>
      </c>
      <c r="N93">
        <v>35.238724615454267</v>
      </c>
      <c r="O93">
        <v>14.61149291490006</v>
      </c>
      <c r="P93">
        <v>15.62566184257509</v>
      </c>
      <c r="Q93">
        <v>45.638967458946382</v>
      </c>
      <c r="R93">
        <v>38.547749876514587</v>
      </c>
      <c r="S93" t="s">
        <v>29</v>
      </c>
      <c r="T93" t="s">
        <v>30</v>
      </c>
      <c r="U93">
        <v>165</v>
      </c>
      <c r="V93">
        <v>90</v>
      </c>
      <c r="W93" t="s">
        <v>31</v>
      </c>
      <c r="X93">
        <v>1024</v>
      </c>
      <c r="Y93">
        <v>1024</v>
      </c>
      <c r="Z93">
        <v>2400</v>
      </c>
      <c r="AA93">
        <v>92</v>
      </c>
      <c r="AB93" t="s">
        <v>123</v>
      </c>
      <c r="AC93">
        <v>20.398068189620972</v>
      </c>
    </row>
    <row r="94" spans="1:29" x14ac:dyDescent="0.3">
      <c r="A94">
        <v>6.208333333333333</v>
      </c>
      <c r="B94">
        <v>3.75</v>
      </c>
      <c r="C94">
        <v>4.791666666666667</v>
      </c>
      <c r="D94">
        <v>5.166666666666667</v>
      </c>
      <c r="E94">
        <v>8.5416666666666661</v>
      </c>
      <c r="F94">
        <v>37.875</v>
      </c>
      <c r="G94">
        <v>17</v>
      </c>
      <c r="H94">
        <v>14.20833333333333</v>
      </c>
      <c r="I94">
        <v>2.458333333333333</v>
      </c>
      <c r="J94">
        <v>0</v>
      </c>
      <c r="K94">
        <v>0</v>
      </c>
      <c r="L94">
        <v>-1495.6370068320959</v>
      </c>
      <c r="M94">
        <v>35.977452073232342</v>
      </c>
      <c r="N94">
        <v>35.300784291051713</v>
      </c>
      <c r="O94">
        <v>16.63512363361761</v>
      </c>
      <c r="P94">
        <v>17.234510850883272</v>
      </c>
      <c r="Q94">
        <v>52.612575706849952</v>
      </c>
      <c r="R94">
        <v>39.283250067077908</v>
      </c>
      <c r="S94" t="s">
        <v>29</v>
      </c>
      <c r="T94" t="s">
        <v>30</v>
      </c>
      <c r="U94">
        <v>165</v>
      </c>
      <c r="V94">
        <v>90</v>
      </c>
      <c r="W94" t="s">
        <v>31</v>
      </c>
      <c r="X94">
        <v>1024</v>
      </c>
      <c r="Y94">
        <v>1024</v>
      </c>
      <c r="Z94">
        <v>2400</v>
      </c>
      <c r="AA94">
        <v>93</v>
      </c>
      <c r="AB94" t="s">
        <v>124</v>
      </c>
      <c r="AC94">
        <v>20.885275602340698</v>
      </c>
    </row>
    <row r="95" spans="1:29" x14ac:dyDescent="0.3">
      <c r="A95">
        <v>3.958333333333333</v>
      </c>
      <c r="B95">
        <v>3.75</v>
      </c>
      <c r="C95">
        <v>4.3333333333333339</v>
      </c>
      <c r="D95">
        <v>5.916666666666667</v>
      </c>
      <c r="E95">
        <v>11.20833333333333</v>
      </c>
      <c r="F95">
        <v>40.708333333333343</v>
      </c>
      <c r="G95">
        <v>16.416666666666661</v>
      </c>
      <c r="H95">
        <v>13.70833333333333</v>
      </c>
      <c r="I95">
        <v>0</v>
      </c>
      <c r="J95">
        <v>0</v>
      </c>
      <c r="K95">
        <v>0</v>
      </c>
      <c r="L95">
        <v>-1023.154678272386</v>
      </c>
      <c r="M95">
        <v>27.103377694566401</v>
      </c>
      <c r="N95">
        <v>30.808668499154749</v>
      </c>
      <c r="O95">
        <v>13.631695189373231</v>
      </c>
      <c r="P95">
        <v>12.35359805093454</v>
      </c>
      <c r="Q95">
        <v>40.73507288393963</v>
      </c>
      <c r="R95">
        <v>33.193153503318477</v>
      </c>
      <c r="S95" t="s">
        <v>29</v>
      </c>
      <c r="T95" t="s">
        <v>30</v>
      </c>
      <c r="U95">
        <v>165</v>
      </c>
      <c r="V95">
        <v>90</v>
      </c>
      <c r="W95" t="s">
        <v>31</v>
      </c>
      <c r="X95">
        <v>1024</v>
      </c>
      <c r="Y95">
        <v>1024</v>
      </c>
      <c r="Z95">
        <v>2400</v>
      </c>
      <c r="AA95">
        <v>94</v>
      </c>
      <c r="AB95" t="s">
        <v>125</v>
      </c>
      <c r="AC95">
        <v>20.516447305679321</v>
      </c>
    </row>
    <row r="96" spans="1:29" x14ac:dyDescent="0.3">
      <c r="A96">
        <v>3.166666666666667</v>
      </c>
      <c r="B96">
        <v>5.583333333333333</v>
      </c>
      <c r="C96">
        <v>6.4166666666666661</v>
      </c>
      <c r="D96">
        <v>4.25</v>
      </c>
      <c r="E96">
        <v>8.1666666666666661</v>
      </c>
      <c r="F96">
        <v>36.083333333333343</v>
      </c>
      <c r="G96">
        <v>26.166666666666661</v>
      </c>
      <c r="H96">
        <v>10.16666666666667</v>
      </c>
      <c r="I96">
        <v>0</v>
      </c>
      <c r="J96">
        <v>0</v>
      </c>
      <c r="K96">
        <v>0</v>
      </c>
      <c r="L96">
        <v>100.1047825373369</v>
      </c>
      <c r="M96">
        <v>31.10114842820121</v>
      </c>
      <c r="N96">
        <v>31.596835718635859</v>
      </c>
      <c r="O96">
        <v>13.535366313462911</v>
      </c>
      <c r="P96">
        <v>11.436917279740779</v>
      </c>
      <c r="Q96">
        <v>44.636514741664122</v>
      </c>
      <c r="R96">
        <v>33.603022249406322</v>
      </c>
      <c r="S96" t="s">
        <v>29</v>
      </c>
      <c r="T96" t="s">
        <v>30</v>
      </c>
      <c r="U96">
        <v>165</v>
      </c>
      <c r="V96">
        <v>90</v>
      </c>
      <c r="W96" t="s">
        <v>31</v>
      </c>
      <c r="X96">
        <v>1024</v>
      </c>
      <c r="Y96">
        <v>1024</v>
      </c>
      <c r="Z96">
        <v>2400</v>
      </c>
      <c r="AA96">
        <v>95</v>
      </c>
      <c r="AB96" t="s">
        <v>126</v>
      </c>
      <c r="AC96">
        <v>20.652157306671139</v>
      </c>
    </row>
    <row r="97" spans="1:29" x14ac:dyDescent="0.3">
      <c r="A97">
        <v>7.9583333333333339</v>
      </c>
      <c r="B97">
        <v>4.958333333333333</v>
      </c>
      <c r="C97">
        <v>3.666666666666667</v>
      </c>
      <c r="D97">
        <v>4.541666666666667</v>
      </c>
      <c r="E97">
        <v>10.08333333333333</v>
      </c>
      <c r="F97">
        <v>34.708333333333343</v>
      </c>
      <c r="G97">
        <v>16.125</v>
      </c>
      <c r="H97">
        <v>16.666666666666661</v>
      </c>
      <c r="I97">
        <v>1.291666666666667</v>
      </c>
      <c r="J97">
        <v>0</v>
      </c>
      <c r="K97">
        <v>0</v>
      </c>
      <c r="L97">
        <v>-1447.136591904635</v>
      </c>
      <c r="M97">
        <v>35.385245152272589</v>
      </c>
      <c r="N97">
        <v>37.193723304090398</v>
      </c>
      <c r="O97">
        <v>17.969466345995439</v>
      </c>
      <c r="P97">
        <v>16.261233057197519</v>
      </c>
      <c r="Q97">
        <v>53.354711498268031</v>
      </c>
      <c r="R97">
        <v>40.593112146788293</v>
      </c>
      <c r="S97" t="s">
        <v>29</v>
      </c>
      <c r="T97" t="s">
        <v>30</v>
      </c>
      <c r="U97">
        <v>165</v>
      </c>
      <c r="V97">
        <v>90</v>
      </c>
      <c r="W97" t="s">
        <v>31</v>
      </c>
      <c r="X97">
        <v>1024</v>
      </c>
      <c r="Y97">
        <v>1024</v>
      </c>
      <c r="Z97">
        <v>2400</v>
      </c>
      <c r="AA97">
        <v>96</v>
      </c>
      <c r="AB97" t="s">
        <v>127</v>
      </c>
      <c r="AC97">
        <v>20.23359227180481</v>
      </c>
    </row>
    <row r="98" spans="1:29" x14ac:dyDescent="0.3">
      <c r="A98">
        <v>3.583333333333333</v>
      </c>
      <c r="B98">
        <v>4.416666666666667</v>
      </c>
      <c r="C98">
        <v>6.666666666666667</v>
      </c>
      <c r="D98">
        <v>5.3333333333333339</v>
      </c>
      <c r="E98">
        <v>9.0416666666666679</v>
      </c>
      <c r="F98">
        <v>39.541666666666671</v>
      </c>
      <c r="G98">
        <v>17.541666666666671</v>
      </c>
      <c r="H98">
        <v>11.375</v>
      </c>
      <c r="I98">
        <v>1.958333333333333</v>
      </c>
      <c r="J98">
        <v>0.54166666666666674</v>
      </c>
      <c r="K98">
        <v>0</v>
      </c>
      <c r="L98">
        <v>-498.8885390840785</v>
      </c>
      <c r="M98">
        <v>29.983685119691501</v>
      </c>
      <c r="N98">
        <v>31.14849416065486</v>
      </c>
      <c r="O98">
        <v>15.921094406588489</v>
      </c>
      <c r="P98">
        <v>17.436445995956181</v>
      </c>
      <c r="Q98">
        <v>45.904779526280002</v>
      </c>
      <c r="R98">
        <v>35.696755278964027</v>
      </c>
      <c r="S98" t="s">
        <v>29</v>
      </c>
      <c r="T98" t="s">
        <v>30</v>
      </c>
      <c r="U98">
        <v>165</v>
      </c>
      <c r="V98">
        <v>90</v>
      </c>
      <c r="W98" t="s">
        <v>31</v>
      </c>
      <c r="X98">
        <v>1024</v>
      </c>
      <c r="Y98">
        <v>1024</v>
      </c>
      <c r="Z98">
        <v>2400</v>
      </c>
      <c r="AA98">
        <v>97</v>
      </c>
      <c r="AB98" t="s">
        <v>128</v>
      </c>
      <c r="AC98">
        <v>20.548400640487671</v>
      </c>
    </row>
    <row r="99" spans="1:29" x14ac:dyDescent="0.3">
      <c r="A99">
        <v>3.875</v>
      </c>
      <c r="B99">
        <v>5.2083333333333339</v>
      </c>
      <c r="C99">
        <v>6.5</v>
      </c>
      <c r="D99">
        <v>4.583333333333333</v>
      </c>
      <c r="E99">
        <v>7.9166666666666661</v>
      </c>
      <c r="F99">
        <v>33.583333333333329</v>
      </c>
      <c r="G99">
        <v>16.583333333333329</v>
      </c>
      <c r="H99">
        <v>21.333333333333339</v>
      </c>
      <c r="I99">
        <v>0.41666666666666669</v>
      </c>
      <c r="J99">
        <v>0</v>
      </c>
      <c r="K99">
        <v>0</v>
      </c>
      <c r="L99">
        <v>-1769.5811972777251</v>
      </c>
      <c r="M99">
        <v>32.296797574336111</v>
      </c>
      <c r="N99">
        <v>32.182964227597431</v>
      </c>
      <c r="O99">
        <v>18.536299573356519</v>
      </c>
      <c r="P99">
        <v>15.827782176880691</v>
      </c>
      <c r="Q99">
        <v>50.833097147692627</v>
      </c>
      <c r="R99">
        <v>35.864493236536859</v>
      </c>
      <c r="S99" t="s">
        <v>29</v>
      </c>
      <c r="T99" t="s">
        <v>30</v>
      </c>
      <c r="U99">
        <v>165</v>
      </c>
      <c r="V99">
        <v>90</v>
      </c>
      <c r="W99" t="s">
        <v>31</v>
      </c>
      <c r="X99">
        <v>1024</v>
      </c>
      <c r="Y99">
        <v>1024</v>
      </c>
      <c r="Z99">
        <v>2400</v>
      </c>
      <c r="AA99">
        <v>98</v>
      </c>
      <c r="AB99" t="s">
        <v>129</v>
      </c>
      <c r="AC99">
        <v>20.77102088928223</v>
      </c>
    </row>
    <row r="100" spans="1:29" x14ac:dyDescent="0.3">
      <c r="A100">
        <v>1.958333333333333</v>
      </c>
      <c r="B100">
        <v>2.375</v>
      </c>
      <c r="C100">
        <v>4.125</v>
      </c>
      <c r="D100">
        <v>4</v>
      </c>
      <c r="E100">
        <v>10.25</v>
      </c>
      <c r="F100">
        <v>49.833333333333343</v>
      </c>
      <c r="G100">
        <v>14.04166666666667</v>
      </c>
      <c r="H100">
        <v>12.54166666666667</v>
      </c>
      <c r="I100">
        <v>0.87500000000000011</v>
      </c>
      <c r="J100">
        <v>0</v>
      </c>
      <c r="K100">
        <v>0</v>
      </c>
      <c r="L100">
        <v>-2567.3070026853711</v>
      </c>
      <c r="M100">
        <v>19.78550414498438</v>
      </c>
      <c r="N100">
        <v>26.30570559519338</v>
      </c>
      <c r="O100">
        <v>13.836622949410669</v>
      </c>
      <c r="P100">
        <v>15.99067723244354</v>
      </c>
      <c r="Q100">
        <v>33.622127094395047</v>
      </c>
      <c r="R100">
        <v>30.784605003364529</v>
      </c>
      <c r="S100" t="s">
        <v>29</v>
      </c>
      <c r="T100" t="s">
        <v>30</v>
      </c>
      <c r="U100">
        <v>165</v>
      </c>
      <c r="V100">
        <v>90</v>
      </c>
      <c r="W100" t="s">
        <v>31</v>
      </c>
      <c r="X100">
        <v>1024</v>
      </c>
      <c r="Y100">
        <v>1024</v>
      </c>
      <c r="Z100">
        <v>2400</v>
      </c>
      <c r="AA100">
        <v>99</v>
      </c>
      <c r="AB100" t="s">
        <v>130</v>
      </c>
      <c r="AC100">
        <v>20.598733901977539</v>
      </c>
    </row>
    <row r="101" spans="1:29" x14ac:dyDescent="0.3">
      <c r="A101">
        <v>4.416666666666667</v>
      </c>
      <c r="B101">
        <v>5.5</v>
      </c>
      <c r="C101">
        <v>4.625</v>
      </c>
      <c r="D101">
        <v>5.2083333333333339</v>
      </c>
      <c r="E101">
        <v>10.54166666666667</v>
      </c>
      <c r="F101">
        <v>41.125</v>
      </c>
      <c r="G101">
        <v>14.5</v>
      </c>
      <c r="H101">
        <v>14</v>
      </c>
      <c r="I101">
        <v>8.3333333333333343E-2</v>
      </c>
      <c r="J101">
        <v>0</v>
      </c>
      <c r="K101">
        <v>0</v>
      </c>
      <c r="L101">
        <v>-3215.7873917638622</v>
      </c>
      <c r="M101">
        <v>28.920813969529419</v>
      </c>
      <c r="N101">
        <v>32.355885078770889</v>
      </c>
      <c r="O101">
        <v>15.051746921396861</v>
      </c>
      <c r="P101">
        <v>14.823580251630259</v>
      </c>
      <c r="Q101">
        <v>43.972560890926282</v>
      </c>
      <c r="R101">
        <v>35.589911923284539</v>
      </c>
      <c r="S101" t="s">
        <v>29</v>
      </c>
      <c r="T101" t="s">
        <v>30</v>
      </c>
      <c r="U101">
        <v>165</v>
      </c>
      <c r="V101">
        <v>90</v>
      </c>
      <c r="W101" t="s">
        <v>31</v>
      </c>
      <c r="X101">
        <v>1024</v>
      </c>
      <c r="Y101">
        <v>1024</v>
      </c>
      <c r="Z101">
        <v>2400</v>
      </c>
      <c r="AA101">
        <v>100</v>
      </c>
      <c r="AB101" t="s">
        <v>131</v>
      </c>
      <c r="AC101">
        <v>20.300526142120361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16"/>
  <sheetViews>
    <sheetView tabSelected="1" topLeftCell="L1" workbookViewId="0">
      <selection activeCell="K12" sqref="K12"/>
    </sheetView>
  </sheetViews>
  <sheetFormatPr defaultRowHeight="14.4" x14ac:dyDescent="0.3"/>
  <cols>
    <col min="1" max="1" width="14" bestFit="1" customWidth="1"/>
    <col min="2" max="2" width="16" bestFit="1" customWidth="1"/>
    <col min="3" max="3" width="16.21875" bestFit="1" customWidth="1"/>
    <col min="4" max="4" width="15" bestFit="1" customWidth="1"/>
    <col min="5" max="5" width="15.21875" bestFit="1" customWidth="1"/>
    <col min="6" max="6" width="16.21875" bestFit="1" customWidth="1"/>
    <col min="7" max="7" width="16.44140625" bestFit="1" customWidth="1"/>
    <col min="8" max="8" width="16.5546875" bestFit="1" customWidth="1"/>
    <col min="9" max="9" width="16.77734375" bestFit="1" customWidth="1"/>
    <col min="10" max="11" width="12" bestFit="1" customWidth="1"/>
    <col min="12" max="12" width="17.44140625" bestFit="1" customWidth="1"/>
    <col min="13" max="13" width="17.6640625" bestFit="1" customWidth="1"/>
    <col min="14" max="15" width="12" bestFit="1" customWidth="1"/>
    <col min="16" max="16" width="17.21875" bestFit="1" customWidth="1"/>
    <col min="17" max="17" width="17.44140625" bestFit="1" customWidth="1"/>
    <col min="18" max="18" width="16.77734375" bestFit="1" customWidth="1"/>
    <col min="19" max="19" width="17" bestFit="1" customWidth="1"/>
    <col min="20" max="20" width="15.5546875" bestFit="1" customWidth="1"/>
    <col min="21" max="21" width="15.77734375" bestFit="1" customWidth="1"/>
    <col min="22" max="22" width="16.5546875" bestFit="1" customWidth="1"/>
    <col min="23" max="23" width="16.77734375" bestFit="1" customWidth="1"/>
    <col min="24" max="24" width="12.6640625" bestFit="1" customWidth="1"/>
    <col min="25" max="25" width="12.33203125" bestFit="1" customWidth="1"/>
    <col min="26" max="26" width="18.44140625" bestFit="1" customWidth="1"/>
    <col min="27" max="27" width="15.33203125" bestFit="1" customWidth="1"/>
    <col min="28" max="28" width="18.77734375" bestFit="1" customWidth="1"/>
    <col min="29" max="29" width="15.6640625" bestFit="1" customWidth="1"/>
    <col min="30" max="30" width="16.21875" bestFit="1" customWidth="1"/>
    <col min="31" max="31" width="13.21875" bestFit="1" customWidth="1"/>
    <col min="32" max="32" width="12.88671875" bestFit="1" customWidth="1"/>
    <col min="33" max="33" width="12.33203125" bestFit="1" customWidth="1"/>
    <col min="34" max="34" width="14.77734375" bestFit="1" customWidth="1"/>
    <col min="35" max="35" width="14.21875" bestFit="1" customWidth="1"/>
    <col min="36" max="36" width="9.21875" bestFit="1" customWidth="1"/>
    <col min="37" max="37" width="18.6640625" bestFit="1" customWidth="1"/>
    <col min="38" max="38" width="13.88671875" bestFit="1" customWidth="1"/>
    <col min="39" max="39" width="16.109375" bestFit="1" customWidth="1"/>
    <col min="40" max="40" width="12.6640625" bestFit="1" customWidth="1"/>
    <col min="41" max="41" width="17.33203125" bestFit="1" customWidth="1"/>
    <col min="42" max="42" width="18.109375" bestFit="1" customWidth="1"/>
  </cols>
  <sheetData>
    <row r="1" spans="1:42" x14ac:dyDescent="0.3">
      <c r="A1" s="1" t="s">
        <v>132</v>
      </c>
      <c r="B1" s="1" t="s">
        <v>133</v>
      </c>
      <c r="C1" s="1" t="s">
        <v>134</v>
      </c>
      <c r="D1" s="1" t="s">
        <v>135</v>
      </c>
      <c r="E1" s="1" t="s">
        <v>136</v>
      </c>
      <c r="F1" s="1" t="s">
        <v>137</v>
      </c>
      <c r="G1" s="1" t="s">
        <v>138</v>
      </c>
      <c r="H1" s="1" t="s">
        <v>139</v>
      </c>
      <c r="I1" s="1" t="s">
        <v>140</v>
      </c>
      <c r="J1" s="1" t="s">
        <v>141</v>
      </c>
      <c r="K1" s="1" t="s">
        <v>142</v>
      </c>
      <c r="L1" s="1" t="s">
        <v>143</v>
      </c>
      <c r="M1" s="1" t="s">
        <v>144</v>
      </c>
      <c r="N1" s="1" t="s">
        <v>145</v>
      </c>
      <c r="O1" s="1" t="s">
        <v>146</v>
      </c>
      <c r="P1" s="1" t="s">
        <v>147</v>
      </c>
      <c r="Q1" s="1" t="s">
        <v>148</v>
      </c>
      <c r="R1" s="1" t="s">
        <v>149</v>
      </c>
      <c r="S1" s="1" t="s">
        <v>150</v>
      </c>
      <c r="T1" s="1" t="s">
        <v>151</v>
      </c>
      <c r="U1" s="1" t="s">
        <v>152</v>
      </c>
      <c r="V1" s="1" t="s">
        <v>153</v>
      </c>
      <c r="W1" s="1" t="s">
        <v>154</v>
      </c>
      <c r="X1" s="1" t="s">
        <v>155</v>
      </c>
      <c r="Y1" s="1" t="s">
        <v>156</v>
      </c>
      <c r="Z1" s="1" t="s">
        <v>157</v>
      </c>
      <c r="AA1" s="1" t="s">
        <v>158</v>
      </c>
      <c r="AB1" s="1" t="s">
        <v>159</v>
      </c>
      <c r="AC1" s="1" t="s">
        <v>160</v>
      </c>
      <c r="AD1" s="1" t="s">
        <v>161</v>
      </c>
      <c r="AE1" s="1" t="s">
        <v>162</v>
      </c>
      <c r="AF1" s="1" t="s">
        <v>163</v>
      </c>
      <c r="AG1" s="1" t="s">
        <v>164</v>
      </c>
      <c r="AH1" s="1" t="s">
        <v>165</v>
      </c>
      <c r="AI1" s="1" t="s">
        <v>166</v>
      </c>
      <c r="AJ1" s="1" t="s">
        <v>167</v>
      </c>
      <c r="AK1" s="1" t="s">
        <v>22</v>
      </c>
      <c r="AL1" s="1" t="s">
        <v>23</v>
      </c>
      <c r="AM1" s="1" t="s">
        <v>24</v>
      </c>
      <c r="AN1" s="1" t="s">
        <v>25</v>
      </c>
      <c r="AO1" s="1" t="s">
        <v>27</v>
      </c>
      <c r="AP1" s="1" t="s">
        <v>168</v>
      </c>
    </row>
    <row r="2" spans="1:42" x14ac:dyDescent="0.3">
      <c r="A2" t="s">
        <v>169</v>
      </c>
      <c r="B2">
        <v>2.0833333333333342E-3</v>
      </c>
      <c r="C2">
        <v>1.7138727222851299E-2</v>
      </c>
      <c r="D2">
        <v>7.0833333333333338E-3</v>
      </c>
      <c r="E2">
        <v>3.6533562356430273E-2</v>
      </c>
      <c r="F2">
        <v>3.3333333333333333E-2</v>
      </c>
      <c r="G2">
        <v>0.11483653536264719</v>
      </c>
      <c r="H2">
        <v>0.15791666666666671</v>
      </c>
      <c r="I2">
        <v>0.28180757487913499</v>
      </c>
      <c r="J2">
        <v>3.2120833333333332</v>
      </c>
      <c r="K2">
        <v>1.863183820564779</v>
      </c>
      <c r="L2">
        <v>90.158333333333331</v>
      </c>
      <c r="M2">
        <v>4.8417000613138086</v>
      </c>
      <c r="N2">
        <v>6.3708333333333336</v>
      </c>
      <c r="O2">
        <v>3.1081081060474181</v>
      </c>
      <c r="P2">
        <v>5.8333333333333327E-2</v>
      </c>
      <c r="Q2">
        <v>0.19015838988471309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33.064596706937991</v>
      </c>
      <c r="Y2">
        <v>101.4170414587682</v>
      </c>
      <c r="Z2">
        <v>2.5846644345884009</v>
      </c>
      <c r="AA2">
        <v>0.14594961562056821</v>
      </c>
      <c r="AB2">
        <v>3.158884495757964</v>
      </c>
      <c r="AC2">
        <v>7.5483221657934821E-2</v>
      </c>
      <c r="AD2">
        <v>5.7435489303463649</v>
      </c>
      <c r="AE2">
        <v>0.1411018693054483</v>
      </c>
      <c r="AF2" t="s">
        <v>170</v>
      </c>
      <c r="AG2" t="s">
        <v>171</v>
      </c>
      <c r="AH2">
        <v>170</v>
      </c>
      <c r="AI2">
        <v>90</v>
      </c>
      <c r="AJ2">
        <v>100</v>
      </c>
      <c r="AK2" t="s">
        <v>31</v>
      </c>
      <c r="AL2">
        <v>1024</v>
      </c>
      <c r="AM2">
        <v>1024</v>
      </c>
      <c r="AN2">
        <v>2400</v>
      </c>
      <c r="AO2" t="s">
        <v>172</v>
      </c>
      <c r="AP2" s="2">
        <v>44624</v>
      </c>
    </row>
    <row r="3" spans="1:42" x14ac:dyDescent="0.3">
      <c r="A3" t="s">
        <v>173</v>
      </c>
      <c r="B3">
        <v>2.7454166666666668</v>
      </c>
      <c r="C3">
        <v>10.215355921255201</v>
      </c>
      <c r="D3">
        <v>1.717916666666667</v>
      </c>
      <c r="E3">
        <v>0.87678899605474847</v>
      </c>
      <c r="F3">
        <v>2.8570833333333332</v>
      </c>
      <c r="G3">
        <v>1.0125</v>
      </c>
      <c r="H3">
        <v>3.4104166666666669</v>
      </c>
      <c r="I3">
        <v>1.05318338912192</v>
      </c>
      <c r="J3">
        <v>6.9866666666666664</v>
      </c>
      <c r="K3">
        <v>1.767180377633577</v>
      </c>
      <c r="L3">
        <v>38.458333333333343</v>
      </c>
      <c r="M3">
        <v>6.0416884360457681</v>
      </c>
      <c r="N3">
        <v>15.904999999999999</v>
      </c>
      <c r="O3">
        <v>3.9260672342906449</v>
      </c>
      <c r="P3">
        <v>22.133749999999999</v>
      </c>
      <c r="Q3">
        <v>4.5874686540395819</v>
      </c>
      <c r="R3">
        <v>5.0695833333333331</v>
      </c>
      <c r="S3">
        <v>2.7963461145416191</v>
      </c>
      <c r="T3">
        <v>0.66249999999999998</v>
      </c>
      <c r="U3">
        <v>1.2119127293349681</v>
      </c>
      <c r="V3">
        <v>5.3333333333333337E-2</v>
      </c>
      <c r="W3">
        <v>0.23526139437072341</v>
      </c>
      <c r="X3">
        <v>-881.87228533133498</v>
      </c>
      <c r="Y3">
        <v>952.04951124910872</v>
      </c>
      <c r="Z3">
        <v>20.9895707349242</v>
      </c>
      <c r="AA3">
        <v>0.54367697455252872</v>
      </c>
      <c r="AB3">
        <v>22.562247389271011</v>
      </c>
      <c r="AC3">
        <v>0.29970032367436822</v>
      </c>
      <c r="AD3">
        <v>43.551818124195208</v>
      </c>
      <c r="AE3">
        <v>0.47256934570141479</v>
      </c>
      <c r="AF3" t="s">
        <v>174</v>
      </c>
      <c r="AG3" t="s">
        <v>171</v>
      </c>
      <c r="AH3">
        <v>160</v>
      </c>
      <c r="AI3">
        <v>90</v>
      </c>
      <c r="AJ3">
        <v>100</v>
      </c>
      <c r="AK3" t="s">
        <v>31</v>
      </c>
      <c r="AL3">
        <v>1024</v>
      </c>
      <c r="AM3">
        <v>1024</v>
      </c>
      <c r="AN3">
        <v>2400</v>
      </c>
      <c r="AO3" t="s">
        <v>172</v>
      </c>
      <c r="AP3" s="2">
        <v>44624</v>
      </c>
    </row>
    <row r="4" spans="1:42" x14ac:dyDescent="0.3">
      <c r="A4" t="s">
        <v>175</v>
      </c>
      <c r="B4">
        <v>48.414999999999999</v>
      </c>
      <c r="C4">
        <v>24.619398671884891</v>
      </c>
      <c r="D4">
        <v>4.2341666666666669</v>
      </c>
      <c r="E4">
        <v>1.5536466913447129</v>
      </c>
      <c r="F4">
        <v>3.2749999999999999</v>
      </c>
      <c r="G4">
        <v>1.720255883009939</v>
      </c>
      <c r="H4">
        <v>2.8295833333333329</v>
      </c>
      <c r="I4">
        <v>1.6229006879094789</v>
      </c>
      <c r="J4">
        <v>5.6858333333333331</v>
      </c>
      <c r="K4">
        <v>2.944405255123232</v>
      </c>
      <c r="L4">
        <v>24.495000000000001</v>
      </c>
      <c r="M4">
        <v>12.48246845776516</v>
      </c>
      <c r="N4">
        <v>6.8408333333333333</v>
      </c>
      <c r="O4">
        <v>4.3634563114625831</v>
      </c>
      <c r="P4">
        <v>4.1416666666666666</v>
      </c>
      <c r="Q4">
        <v>2.3494811615322782</v>
      </c>
      <c r="R4">
        <v>8.2916666666666666E-2</v>
      </c>
      <c r="S4">
        <v>0.28318567899503461</v>
      </c>
      <c r="T4">
        <v>0</v>
      </c>
      <c r="U4">
        <v>0</v>
      </c>
      <c r="V4">
        <v>0</v>
      </c>
      <c r="W4">
        <v>0</v>
      </c>
      <c r="X4">
        <v>-282.49881463656448</v>
      </c>
      <c r="Y4">
        <v>166.7234292068849</v>
      </c>
      <c r="Z4">
        <v>70.663353573092081</v>
      </c>
      <c r="AA4">
        <v>0.63169339040738304</v>
      </c>
      <c r="AB4">
        <v>10.770203895638</v>
      </c>
      <c r="AC4">
        <v>0.29588943966254488</v>
      </c>
      <c r="AD4">
        <v>81.433557468730086</v>
      </c>
      <c r="AE4">
        <v>0.57889685539080393</v>
      </c>
      <c r="AF4" t="s">
        <v>170</v>
      </c>
      <c r="AG4" t="s">
        <v>30</v>
      </c>
      <c r="AH4">
        <v>170</v>
      </c>
      <c r="AI4">
        <v>90</v>
      </c>
      <c r="AJ4">
        <v>100</v>
      </c>
      <c r="AK4" t="s">
        <v>31</v>
      </c>
      <c r="AL4">
        <v>1024</v>
      </c>
      <c r="AM4">
        <v>1024</v>
      </c>
      <c r="AN4">
        <v>2400</v>
      </c>
      <c r="AO4" t="s">
        <v>172</v>
      </c>
      <c r="AP4" s="2">
        <v>44624</v>
      </c>
    </row>
    <row r="5" spans="1:42" x14ac:dyDescent="0.3">
      <c r="A5" t="s">
        <v>176</v>
      </c>
      <c r="B5">
        <v>1.6445833333333331</v>
      </c>
      <c r="C5">
        <v>1.237400799796825</v>
      </c>
      <c r="D5">
        <v>2.784583333333333</v>
      </c>
      <c r="E5">
        <v>1.0147802052854999</v>
      </c>
      <c r="F5">
        <v>5.3045833333333334</v>
      </c>
      <c r="G5">
        <v>1.410783175427601</v>
      </c>
      <c r="H5">
        <v>5.7895833333333337</v>
      </c>
      <c r="I5">
        <v>1.3594916024852211</v>
      </c>
      <c r="J5">
        <v>10.54541666666667</v>
      </c>
      <c r="K5">
        <v>1.6665203534262161</v>
      </c>
      <c r="L5">
        <v>45.18416666666667</v>
      </c>
      <c r="M5">
        <v>5.1710269290114086</v>
      </c>
      <c r="N5">
        <v>16.599583333333332</v>
      </c>
      <c r="O5">
        <v>2.829697205081612</v>
      </c>
      <c r="P5">
        <v>11.661666666666671</v>
      </c>
      <c r="Q5">
        <v>3.2595112486762359</v>
      </c>
      <c r="R5">
        <v>0.45291666666666669</v>
      </c>
      <c r="S5">
        <v>0.76272075515007487</v>
      </c>
      <c r="T5">
        <v>3.291666666666667E-2</v>
      </c>
      <c r="U5">
        <v>0.19626626692038601</v>
      </c>
      <c r="V5">
        <v>0</v>
      </c>
      <c r="W5">
        <v>0</v>
      </c>
      <c r="X5">
        <v>-451.47012750532571</v>
      </c>
      <c r="Y5">
        <v>719.40147446343951</v>
      </c>
      <c r="Z5">
        <v>21.613279657024918</v>
      </c>
      <c r="AA5">
        <v>0.38598036197239211</v>
      </c>
      <c r="AB5">
        <v>13.13237042038487</v>
      </c>
      <c r="AC5">
        <v>0.23715164737100161</v>
      </c>
      <c r="AD5">
        <v>34.745650077409778</v>
      </c>
      <c r="AE5">
        <v>0.35050753645670368</v>
      </c>
      <c r="AF5" t="s">
        <v>174</v>
      </c>
      <c r="AG5" t="s">
        <v>177</v>
      </c>
      <c r="AH5">
        <v>165</v>
      </c>
      <c r="AI5">
        <v>90</v>
      </c>
      <c r="AJ5">
        <v>100</v>
      </c>
      <c r="AK5" t="s">
        <v>31</v>
      </c>
      <c r="AL5">
        <v>1024</v>
      </c>
      <c r="AM5">
        <v>1024</v>
      </c>
      <c r="AN5">
        <v>2400</v>
      </c>
      <c r="AO5" t="s">
        <v>172</v>
      </c>
      <c r="AP5" s="2">
        <v>44624</v>
      </c>
    </row>
    <row r="6" spans="1:42" x14ac:dyDescent="0.3">
      <c r="A6" t="s">
        <v>178</v>
      </c>
      <c r="B6">
        <v>0.41791666666666671</v>
      </c>
      <c r="C6">
        <v>0.55272178159098984</v>
      </c>
      <c r="D6">
        <v>1.43</v>
      </c>
      <c r="E6">
        <v>0.93244531468120506</v>
      </c>
      <c r="F6">
        <v>4.3379166666666666</v>
      </c>
      <c r="G6">
        <v>1.130634893476085</v>
      </c>
      <c r="H6">
        <v>6.5633333333333326</v>
      </c>
      <c r="I6">
        <v>1.368736114884294</v>
      </c>
      <c r="J6">
        <v>14.168333333333329</v>
      </c>
      <c r="K6">
        <v>1.775516633370688</v>
      </c>
      <c r="L6">
        <v>42.352499999999999</v>
      </c>
      <c r="M6">
        <v>3.789399366512133</v>
      </c>
      <c r="N6">
        <v>10.80916666666667</v>
      </c>
      <c r="O6">
        <v>1.6798738077906361</v>
      </c>
      <c r="P6">
        <v>14.949583333333329</v>
      </c>
      <c r="Q6">
        <v>2.3115816267230032</v>
      </c>
      <c r="R6">
        <v>3.8824999999999998</v>
      </c>
      <c r="S6">
        <v>1.580299902989762</v>
      </c>
      <c r="T6">
        <v>0.84541666666666671</v>
      </c>
      <c r="U6">
        <v>0.82204677950101535</v>
      </c>
      <c r="V6">
        <v>0.24333333333333329</v>
      </c>
      <c r="W6">
        <v>0.50567486659618621</v>
      </c>
      <c r="X6">
        <v>-1134.93450775309</v>
      </c>
      <c r="Y6">
        <v>1624.674341680105</v>
      </c>
      <c r="Z6">
        <v>16.046026826127491</v>
      </c>
      <c r="AA6">
        <v>0.33042075489011918</v>
      </c>
      <c r="AB6">
        <v>22.01547660528265</v>
      </c>
      <c r="AC6">
        <v>0.2613440262939376</v>
      </c>
      <c r="AD6">
        <v>38.061503431410138</v>
      </c>
      <c r="AE6">
        <v>0.28588471724630021</v>
      </c>
      <c r="AF6" t="s">
        <v>29</v>
      </c>
      <c r="AG6" t="s">
        <v>177</v>
      </c>
      <c r="AH6">
        <v>165</v>
      </c>
      <c r="AI6">
        <v>90</v>
      </c>
      <c r="AJ6">
        <v>100</v>
      </c>
      <c r="AK6" t="s">
        <v>31</v>
      </c>
      <c r="AL6">
        <v>1024</v>
      </c>
      <c r="AM6">
        <v>1024</v>
      </c>
      <c r="AN6">
        <v>2400</v>
      </c>
      <c r="AO6" t="s">
        <v>172</v>
      </c>
      <c r="AP6" s="2">
        <v>44624</v>
      </c>
    </row>
    <row r="7" spans="1:42" x14ac:dyDescent="0.3">
      <c r="A7" t="s">
        <v>179</v>
      </c>
      <c r="B7">
        <v>0</v>
      </c>
      <c r="C7">
        <v>0</v>
      </c>
      <c r="D7">
        <v>8.3333333333333339E-4</v>
      </c>
      <c r="E7">
        <v>8.333333333333335E-3</v>
      </c>
      <c r="F7">
        <v>1.208333333333333E-2</v>
      </c>
      <c r="G7">
        <v>4.6742587953808562E-2</v>
      </c>
      <c r="H7">
        <v>5.8333333333333327E-2</v>
      </c>
      <c r="I7">
        <v>0.1160517706371319</v>
      </c>
      <c r="J7">
        <v>1.85375</v>
      </c>
      <c r="K7">
        <v>1.032212908782504</v>
      </c>
      <c r="L7">
        <v>69.589583333333337</v>
      </c>
      <c r="M7">
        <v>3.0357853002426691</v>
      </c>
      <c r="N7">
        <v>11.64041666666667</v>
      </c>
      <c r="O7">
        <v>2.0426469422256051</v>
      </c>
      <c r="P7">
        <v>14.98291666666667</v>
      </c>
      <c r="Q7">
        <v>2.8838831862685859</v>
      </c>
      <c r="R7">
        <v>1.665</v>
      </c>
      <c r="S7">
        <v>1.532040884076729</v>
      </c>
      <c r="T7">
        <v>0.1804166666666667</v>
      </c>
      <c r="U7">
        <v>0.49090546993821921</v>
      </c>
      <c r="V7">
        <v>1.666666666666667E-2</v>
      </c>
      <c r="W7">
        <v>0.1185928060532635</v>
      </c>
      <c r="X7">
        <v>-380.52878648245252</v>
      </c>
      <c r="Y7">
        <v>759.77052094658427</v>
      </c>
      <c r="Z7">
        <v>2.1035877095747071</v>
      </c>
      <c r="AA7">
        <v>8.4056589499563433E-2</v>
      </c>
      <c r="AB7">
        <v>14.671320140757979</v>
      </c>
      <c r="AC7">
        <v>0.27610463522005652</v>
      </c>
      <c r="AD7">
        <v>16.774907850332681</v>
      </c>
      <c r="AE7">
        <v>0.27734871213604018</v>
      </c>
      <c r="AF7" t="s">
        <v>29</v>
      </c>
      <c r="AG7" t="s">
        <v>171</v>
      </c>
      <c r="AH7">
        <v>170</v>
      </c>
      <c r="AI7">
        <v>90</v>
      </c>
      <c r="AJ7">
        <v>100</v>
      </c>
      <c r="AK7" t="s">
        <v>31</v>
      </c>
      <c r="AL7">
        <v>1024</v>
      </c>
      <c r="AM7">
        <v>1024</v>
      </c>
      <c r="AN7">
        <v>2400</v>
      </c>
      <c r="AO7" t="s">
        <v>172</v>
      </c>
      <c r="AP7" s="2">
        <v>44624</v>
      </c>
    </row>
    <row r="8" spans="1:42" x14ac:dyDescent="0.3">
      <c r="A8" t="s">
        <v>180</v>
      </c>
      <c r="B8">
        <v>3.7499999999999999E-3</v>
      </c>
      <c r="C8">
        <v>2.0596294600987931E-2</v>
      </c>
      <c r="D8">
        <v>2.208333333333333E-2</v>
      </c>
      <c r="E8">
        <v>7.11790927418057E-2</v>
      </c>
      <c r="F8">
        <v>0.19</v>
      </c>
      <c r="G8">
        <v>0.3080886735210564</v>
      </c>
      <c r="H8">
        <v>0.8091666666666667</v>
      </c>
      <c r="I8">
        <v>0.60777844717707308</v>
      </c>
      <c r="J8">
        <v>7.3695833333333329</v>
      </c>
      <c r="K8">
        <v>1.6007553697952011</v>
      </c>
      <c r="L8">
        <v>50.83</v>
      </c>
      <c r="M8">
        <v>4.0290779858903303</v>
      </c>
      <c r="N8">
        <v>11.043749999999999</v>
      </c>
      <c r="O8">
        <v>2.2998085775878341</v>
      </c>
      <c r="P8">
        <v>14.741666666666671</v>
      </c>
      <c r="Q8">
        <v>2.1796667106915608</v>
      </c>
      <c r="R8">
        <v>7.7566666666666668</v>
      </c>
      <c r="S8">
        <v>2.2865048999921229</v>
      </c>
      <c r="T8">
        <v>4.3324999999999996</v>
      </c>
      <c r="U8">
        <v>2.1846570832211261</v>
      </c>
      <c r="V8">
        <v>2.9008333333333329</v>
      </c>
      <c r="W8">
        <v>2.1699242217059389</v>
      </c>
      <c r="X8">
        <v>-2185.789997185846</v>
      </c>
      <c r="Y8">
        <v>2558.861775334452</v>
      </c>
      <c r="Z8">
        <v>4.9648617705207396</v>
      </c>
      <c r="AA8">
        <v>0.1795533170451048</v>
      </c>
      <c r="AB8">
        <v>32.034638263996719</v>
      </c>
      <c r="AC8">
        <v>0.28375584395707598</v>
      </c>
      <c r="AD8">
        <v>36.999500034517453</v>
      </c>
      <c r="AE8">
        <v>0.29471339095780552</v>
      </c>
      <c r="AF8" t="s">
        <v>29</v>
      </c>
      <c r="AG8" t="s">
        <v>171</v>
      </c>
      <c r="AH8">
        <v>160</v>
      </c>
      <c r="AI8">
        <v>90</v>
      </c>
      <c r="AJ8">
        <v>100</v>
      </c>
      <c r="AK8" t="s">
        <v>31</v>
      </c>
      <c r="AL8">
        <v>1024</v>
      </c>
      <c r="AM8">
        <v>1024</v>
      </c>
      <c r="AN8">
        <v>2400</v>
      </c>
      <c r="AO8" t="s">
        <v>172</v>
      </c>
      <c r="AP8" s="2">
        <v>44624</v>
      </c>
    </row>
    <row r="9" spans="1:42" x14ac:dyDescent="0.3">
      <c r="A9" t="s">
        <v>181</v>
      </c>
      <c r="B9">
        <v>2.9166666666666668E-3</v>
      </c>
      <c r="C9">
        <v>2.073207716484346E-2</v>
      </c>
      <c r="D9">
        <v>6.6666666666666671E-3</v>
      </c>
      <c r="E9">
        <v>3.1180478223116179E-2</v>
      </c>
      <c r="F9">
        <v>0.115</v>
      </c>
      <c r="G9">
        <v>0.19838361980279681</v>
      </c>
      <c r="H9">
        <v>0.61333333333333329</v>
      </c>
      <c r="I9">
        <v>0.54600631463646609</v>
      </c>
      <c r="J9">
        <v>6.3937499999999998</v>
      </c>
      <c r="K9">
        <v>1.9836361902004489</v>
      </c>
      <c r="L9">
        <v>49.484166666666667</v>
      </c>
      <c r="M9">
        <v>4.0857753125449232</v>
      </c>
      <c r="N9">
        <v>13.762083333333329</v>
      </c>
      <c r="O9">
        <v>2.5016078934295711</v>
      </c>
      <c r="P9">
        <v>20.919583333333328</v>
      </c>
      <c r="Q9">
        <v>2.7010310453440658</v>
      </c>
      <c r="R9">
        <v>6.5495833333333344</v>
      </c>
      <c r="S9">
        <v>2.2698471123182862</v>
      </c>
      <c r="T9">
        <v>1.7562500000000001</v>
      </c>
      <c r="U9">
        <v>1.3483135614079329</v>
      </c>
      <c r="V9">
        <v>0.39666666666666672</v>
      </c>
      <c r="W9">
        <v>0.76287765941356755</v>
      </c>
      <c r="X9">
        <v>-1432.691573087327</v>
      </c>
      <c r="Y9">
        <v>1559.2607260677021</v>
      </c>
      <c r="Z9">
        <v>4.7823259552140422</v>
      </c>
      <c r="AA9">
        <v>0.159347508989128</v>
      </c>
      <c r="AB9">
        <v>25.005493056286689</v>
      </c>
      <c r="AC9">
        <v>0.26591403785549073</v>
      </c>
      <c r="AD9">
        <v>29.787819011500741</v>
      </c>
      <c r="AE9">
        <v>0.26455861561678518</v>
      </c>
      <c r="AF9" t="s">
        <v>174</v>
      </c>
      <c r="AG9" t="s">
        <v>30</v>
      </c>
      <c r="AH9">
        <v>170</v>
      </c>
      <c r="AI9">
        <v>90</v>
      </c>
      <c r="AJ9">
        <v>100</v>
      </c>
      <c r="AK9" t="s">
        <v>31</v>
      </c>
      <c r="AL9">
        <v>1024</v>
      </c>
      <c r="AM9">
        <v>1024</v>
      </c>
      <c r="AN9">
        <v>2400</v>
      </c>
      <c r="AO9" t="s">
        <v>172</v>
      </c>
      <c r="AP9" s="2">
        <v>44624</v>
      </c>
    </row>
    <row r="10" spans="1:42" x14ac:dyDescent="0.3">
      <c r="A10" t="s">
        <v>182</v>
      </c>
      <c r="B10">
        <v>2.4087499999999999</v>
      </c>
      <c r="C10">
        <v>1.841928647743508</v>
      </c>
      <c r="D10">
        <v>3.690833333333333</v>
      </c>
      <c r="E10">
        <v>1.336094835995713</v>
      </c>
      <c r="F10">
        <v>5.8745833333333337</v>
      </c>
      <c r="G10">
        <v>1.6154319345913091</v>
      </c>
      <c r="H10">
        <v>6.4587500000000002</v>
      </c>
      <c r="I10">
        <v>1.3104156128048949</v>
      </c>
      <c r="J10">
        <v>12.243333333333331</v>
      </c>
      <c r="K10">
        <v>2.1804849438480249</v>
      </c>
      <c r="L10">
        <v>50.306666666666658</v>
      </c>
      <c r="M10">
        <v>5.3397462497035697</v>
      </c>
      <c r="N10">
        <v>11.71083333333333</v>
      </c>
      <c r="O10">
        <v>2.0619935694272051</v>
      </c>
      <c r="P10">
        <v>7.0887500000000001</v>
      </c>
      <c r="Q10">
        <v>2.094420456082652</v>
      </c>
      <c r="R10">
        <v>0.20208333333333331</v>
      </c>
      <c r="S10">
        <v>0.45997086565377221</v>
      </c>
      <c r="T10">
        <v>1.5416666666666671E-2</v>
      </c>
      <c r="U10">
        <v>0.1541666666666667</v>
      </c>
      <c r="V10">
        <v>0</v>
      </c>
      <c r="W10">
        <v>0</v>
      </c>
      <c r="X10">
        <v>-233.58683850733311</v>
      </c>
      <c r="Y10">
        <v>484.82383501001448</v>
      </c>
      <c r="Z10">
        <v>21.574402772831561</v>
      </c>
      <c r="AA10">
        <v>0.39464814321247882</v>
      </c>
      <c r="AB10">
        <v>10.56997979967783</v>
      </c>
      <c r="AC10">
        <v>0.22245465292221811</v>
      </c>
      <c r="AD10">
        <v>32.144382572509393</v>
      </c>
      <c r="AE10">
        <v>0.37675609791739778</v>
      </c>
      <c r="AF10" t="s">
        <v>170</v>
      </c>
      <c r="AG10" t="s">
        <v>171</v>
      </c>
      <c r="AH10">
        <v>170</v>
      </c>
      <c r="AI10">
        <v>90</v>
      </c>
      <c r="AJ10">
        <v>100</v>
      </c>
      <c r="AK10" t="s">
        <v>31</v>
      </c>
      <c r="AL10">
        <v>1024</v>
      </c>
      <c r="AM10">
        <v>1024</v>
      </c>
      <c r="AN10">
        <v>2400</v>
      </c>
      <c r="AO10" t="s">
        <v>172</v>
      </c>
      <c r="AP10" s="2">
        <v>44624</v>
      </c>
    </row>
    <row r="11" spans="1:42" x14ac:dyDescent="0.3">
      <c r="A11" t="s">
        <v>183</v>
      </c>
      <c r="B11">
        <v>5.3666666666666671</v>
      </c>
      <c r="C11">
        <v>3.1062145810566641</v>
      </c>
      <c r="D11">
        <v>4.0487500000000001</v>
      </c>
      <c r="E11">
        <v>1.2914705374068349</v>
      </c>
      <c r="F11">
        <v>4.9387499999999998</v>
      </c>
      <c r="G11">
        <v>1.3108967547550741</v>
      </c>
      <c r="H11">
        <v>4.7895833333333337</v>
      </c>
      <c r="I11">
        <v>0.98448925881876304</v>
      </c>
      <c r="J11">
        <v>9.0883333333333329</v>
      </c>
      <c r="K11">
        <v>1.5970221657759791</v>
      </c>
      <c r="L11">
        <v>40.767916666666657</v>
      </c>
      <c r="M11">
        <v>4.3922888912895353</v>
      </c>
      <c r="N11">
        <v>15.850416666666669</v>
      </c>
      <c r="O11">
        <v>2.6342336330731779</v>
      </c>
      <c r="P11">
        <v>13.90625</v>
      </c>
      <c r="Q11">
        <v>2.7643575753569261</v>
      </c>
      <c r="R11">
        <v>1.1775</v>
      </c>
      <c r="S11">
        <v>1.141451600574209</v>
      </c>
      <c r="T11">
        <v>6.5833333333333341E-2</v>
      </c>
      <c r="U11">
        <v>0.23837888947953201</v>
      </c>
      <c r="V11">
        <v>0</v>
      </c>
      <c r="W11">
        <v>0</v>
      </c>
      <c r="X11">
        <v>-977.02618574241819</v>
      </c>
      <c r="Y11">
        <v>1055.3262166485331</v>
      </c>
      <c r="Z11">
        <v>30.500836515863039</v>
      </c>
      <c r="AA11">
        <v>0.30372315208910761</v>
      </c>
      <c r="AB11">
        <v>15.63390875724239</v>
      </c>
      <c r="AC11">
        <v>0.21106274197692551</v>
      </c>
      <c r="AD11">
        <v>46.134745273105437</v>
      </c>
      <c r="AE11">
        <v>0.30334570618771078</v>
      </c>
      <c r="AF11" t="s">
        <v>29</v>
      </c>
      <c r="AG11" t="s">
        <v>30</v>
      </c>
      <c r="AH11">
        <v>165</v>
      </c>
      <c r="AI11">
        <v>90</v>
      </c>
      <c r="AJ11">
        <v>100</v>
      </c>
      <c r="AK11" t="s">
        <v>31</v>
      </c>
      <c r="AL11">
        <v>1024</v>
      </c>
      <c r="AM11">
        <v>1024</v>
      </c>
      <c r="AN11">
        <v>2400</v>
      </c>
      <c r="AO11" t="s">
        <v>172</v>
      </c>
      <c r="AP11" s="2">
        <v>44624</v>
      </c>
    </row>
    <row r="12" spans="1:42" x14ac:dyDescent="0.3">
      <c r="B12">
        <f>AVERAGE(B2:B11)</f>
        <v>6.1007083333333316</v>
      </c>
      <c r="C12">
        <f>AVERAGE(C2:C11)/SQRT(10)</f>
        <v>1.3165032288815535</v>
      </c>
      <c r="D12">
        <f>AVERAGE(D2:D11)</f>
        <v>1.7942916666666662</v>
      </c>
      <c r="E12">
        <f>AVERAGE(E2:E11)/SQRT(10)</f>
        <v>0.22618042487270265</v>
      </c>
      <c r="F12">
        <f>AVERAGE(F2:F11)</f>
        <v>2.6938333333333331</v>
      </c>
      <c r="G12">
        <f>AVERAGE(G2:G11)/SQRT(10)</f>
        <v>0.28044830375293794</v>
      </c>
      <c r="H12">
        <f>AVERAGE(H2:H11)</f>
        <v>3.1479999999999997</v>
      </c>
      <c r="I12">
        <f>AVERAGE(I2:I11)/SQRT(10)</f>
        <v>0.29253790360906529</v>
      </c>
      <c r="J12">
        <f>AVERAGE(J2:J11)</f>
        <v>7.7547083333333315</v>
      </c>
      <c r="K12">
        <f>AVERAGE(K2:K11)/SQRT(10)</f>
        <v>0.58220434753159345</v>
      </c>
      <c r="L12">
        <f>AVERAGE(L2:L11)</f>
        <v>50.162666666666674</v>
      </c>
      <c r="M12">
        <f>AVERAGE(M2:M11)/SQRT(10)</f>
        <v>1.6826149601134688</v>
      </c>
      <c r="N12">
        <f>AVERAGE(N2:N11)</f>
        <v>12.053291666666667</v>
      </c>
      <c r="O12">
        <f>AVERAGE(O2:O11)/SQRT(10)</f>
        <v>0.86796594828282136</v>
      </c>
      <c r="P12">
        <f>AVERAGE(P2:P11)</f>
        <v>12.458416666666668</v>
      </c>
      <c r="Q12">
        <f>AVERAGE(Q2:Q11)/SQRT(10)</f>
        <v>0.80073803681272326</v>
      </c>
      <c r="R12">
        <f>AVERAGE(R2:R11)</f>
        <v>2.683875</v>
      </c>
      <c r="S12">
        <f>AVERAGE(S2:S11)/SQRT(10)</f>
        <v>0.41464947811045239</v>
      </c>
      <c r="T12">
        <f>AVERAGE(T2:T11)</f>
        <v>0.78912500000000008</v>
      </c>
      <c r="U12">
        <f>AVERAGE(U2:U11)/SQRT(10)</f>
        <v>0.21018544734986794</v>
      </c>
      <c r="V12">
        <f>AVERAGE(V2:V11)</f>
        <v>0.36108333333333331</v>
      </c>
      <c r="W12">
        <f>AVERAGE(W2:W11)/SQRT(10)</f>
        <v>0.11992403437267277</v>
      </c>
    </row>
    <row r="13" spans="1:42" x14ac:dyDescent="0.3">
      <c r="H13">
        <f>SUM(B12,D12,F12,H12)</f>
        <v>13.73683333333333</v>
      </c>
      <c r="I13">
        <f>SUM(C12,E12,G12,I12)</f>
        <v>2.1156698611162592</v>
      </c>
      <c r="P13">
        <f>SUM(V12,T12,R12,P12)</f>
        <v>16.2925</v>
      </c>
      <c r="Q13">
        <f>SUM(W12,U12,S12,Q12)</f>
        <v>1.5454969966457164</v>
      </c>
    </row>
    <row r="16" spans="1:42" x14ac:dyDescent="0.3">
      <c r="L16">
        <f>SUM(H13,J12,L12,N12,P13)</f>
        <v>100.00000000000001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adolescent#010</vt:lpstr>
      <vt:lpstr>risultati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Sasso Daniele</cp:lastModifiedBy>
  <dcterms:created xsi:type="dcterms:W3CDTF">2025-01-03T04:58:42Z</dcterms:created>
  <dcterms:modified xsi:type="dcterms:W3CDTF">2025-01-13T12:10:33Z</dcterms:modified>
</cp:coreProperties>
</file>