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adolescent_magni_double_20250107\"/>
    </mc:Choice>
  </mc:AlternateContent>
  <xr:revisionPtr revIDLastSave="0" documentId="13_ncr:1_{70BE1B7A-BFCF-4233-BD9B-4F63863DF11B}" xr6:coauthVersionLast="47" xr6:coauthVersionMax="47" xr10:uidLastSave="{00000000-0000-0000-0000-000000000000}"/>
  <bookViews>
    <workbookView xWindow="15264" yWindow="0" windowWidth="15552" windowHeight="16656" activeTab="1" xr2:uid="{00000000-000D-0000-FFFF-FFFF00000000}"/>
  </bookViews>
  <sheets>
    <sheet name="adolescent#010" sheetId="1" r:id="rId1"/>
    <sheet name="risulta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2" l="1"/>
  <c r="L16" i="2"/>
  <c r="Q13" i="2"/>
  <c r="I13" i="2"/>
  <c r="W12" i="2"/>
  <c r="U12" i="2"/>
  <c r="S12" i="2"/>
  <c r="Q12" i="2"/>
  <c r="O12" i="2"/>
  <c r="M12" i="2"/>
  <c r="K12" i="2"/>
  <c r="I12" i="2"/>
  <c r="G12" i="2"/>
  <c r="E12" i="2"/>
  <c r="C12" i="2"/>
  <c r="V12" i="2"/>
  <c r="P13" i="2" s="1"/>
  <c r="T12" i="2"/>
  <c r="R12" i="2"/>
  <c r="P12" i="2"/>
  <c r="N12" i="2"/>
  <c r="L12" i="2"/>
  <c r="J12" i="2"/>
  <c r="H12" i="2"/>
  <c r="F12" i="2"/>
  <c r="D12" i="2"/>
  <c r="B12" i="2"/>
  <c r="H13" i="2" s="1"/>
</calcChain>
</file>

<file path=xl/sharedStrings.xml><?xml version="1.0" encoding="utf-8"?>
<sst xmlns="http://schemas.openxmlformats.org/spreadsheetml/2006/main" count="521" uniqueCount="186">
  <si>
    <t>death hypo</t>
  </si>
  <si>
    <t>ultra hypo</t>
  </si>
  <si>
    <t>heavy hypo</t>
  </si>
  <si>
    <t>severe hypo</t>
  </si>
  <si>
    <t>hypo</t>
  </si>
  <si>
    <t>time in range</t>
  </si>
  <si>
    <t>hyper</t>
  </si>
  <si>
    <t>severe hyper</t>
  </si>
  <si>
    <t>heavy hyper</t>
  </si>
  <si>
    <t>ultra hyper</t>
  </si>
  <si>
    <t>death hyper</t>
  </si>
  <si>
    <t>reward</t>
  </si>
  <si>
    <t>LBGI mean</t>
  </si>
  <si>
    <t>LBGI std</t>
  </si>
  <si>
    <t>HBGI mean</t>
  </si>
  <si>
    <t>HBGI std</t>
  </si>
  <si>
    <t>RI mean</t>
  </si>
  <si>
    <t>RI std</t>
  </si>
  <si>
    <t>cap iper</t>
  </si>
  <si>
    <t>cap ipo</t>
  </si>
  <si>
    <t>soglia iper</t>
  </si>
  <si>
    <t>soglia ipo</t>
  </si>
  <si>
    <t>training learning rate</t>
  </si>
  <si>
    <t>training n steps</t>
  </si>
  <si>
    <t>training timesteps</t>
  </si>
  <si>
    <t>test timesteps</t>
  </si>
  <si>
    <t>ripetizione</t>
  </si>
  <si>
    <t>scenario</t>
  </si>
  <si>
    <t>tempo esecuzione</t>
  </si>
  <si>
    <t>0.09</t>
  </si>
  <si>
    <t>0.06</t>
  </si>
  <si>
    <t>00003</t>
  </si>
  <si>
    <t>[(9, 30), (13, 80), (17, 13), (20, 78), (36, 96), (45, 91), (54, 27), (60, 109), (64, 16), (71, 89), (84, 144), (93, 79), (102, 42), (109, 59), (118, 105)]</t>
  </si>
  <si>
    <t>[(6, 37), (12, 147), (19, 93), (37, 105), (44, 53), (61, 90), (69, 80), (85, 75), (93, 115), (105, 43), (108, 112), (116, 74)]</t>
  </si>
  <si>
    <t>[(6, 35), (13, 140), (19, 100), (36, 113), (40, 9), (45, 89), (61, 125), (70, 73), (84, 113), (93, 103), (105, 44), (108, 110), (113, 10), (116, 90)]</t>
  </si>
  <si>
    <t>[(9, 40), (12, 95), (17, 10), (19, 77), (37, 100), (46, 47), (54, 37), (61, 104), (63, 8), (68, 77), (84, 138), (93, 83), (108, 68), (112, 12), (117, 100)]</t>
  </si>
  <si>
    <t>[(12, 82), (22, 106), (32, 36), (38, 147), (45, 47), (60, 113), (69, 91), (85, 124), (94, 69), (102, 39), (108, 94), (117, 73)]</t>
  </si>
  <si>
    <t>[(10, 36), (12, 82), (18, 6), (23, 90), (36, 98), (41, 11), (43, 70), (57, 40), (61, 98), (66, 12), (67, 83), (79, 43), (84, 112), (92, 80), (104, 36), (109, 87), (113, 6), (115, 122)]</t>
  </si>
  <si>
    <t>[(7, 34), (13, 110), (21, 105), (36, 67), (44, 77), (60, 92), (65, 12), (69, 83), (73, 13), (80, 30), (85, 107), (92, 102), (105, 27), (107, 83), (112, 12), (115, 79)]</t>
  </si>
  <si>
    <t>[(9, 31), (13, 114), (18, 12), (21, 84), (31, 39), (36, 118), (44, 98), (61, 77), (65, 10), (68, 88), (79, 18), (84, 115), (93, 63), (108, 83), (116, 73)]</t>
  </si>
  <si>
    <t>[(13, 110), (17, 11), (21, 95), (34, 47), (36, 132), (44, 61), (61, 85), (81, 26), (85, 124), (93, 119), (105, 28), (109, 62), (115, 75)]</t>
  </si>
  <si>
    <t>[(7, 25), (12, 105), (16, 12), (22, 72), (37, 80), (42, 10), (43, 81), (55, 24), (61, 137), (67, 14), (68, 80), (78, 25), (85, 154), (93, 86), (105, 34), (109, 126), (115, 123)]</t>
  </si>
  <si>
    <t>[(6, 33), (13, 110), (17, 10), (21, 86), (36, 106), (44, 89), (56, 43), (60, 123), (64, 12), (67, 62), (78, 16), (85, 155), (92, 62), (108, 98), (117, 64)]</t>
  </si>
  <si>
    <t>[(13, 107), (21, 97), (32, 40), (36, 98), (44, 70), (55, 36), (60, 123), (65, 11), (68, 101), (79, 26), (84, 79), (93, 127), (108, 141), (116, 102), (121, 10)]</t>
  </si>
  <si>
    <t>[(7, 38), (12, 154), (18, 63), (36, 90), (45, 114), (54, 46), (60, 96), (68, 85), (77, 43), (84, 114), (88, 9), (93, 74), (109, 109), (117, 55)]</t>
  </si>
  <si>
    <t>[(12, 145), (20, 78), (34, 28), (37, 81), (42, 10), (44, 86), (60, 112), (69, 52), (79, 39), (84, 75), (103, 30), (108, 94), (116, 57)]</t>
  </si>
  <si>
    <t>[(7, 42), (13, 57), (20, 90), (36, 59), (46, 73), (57, 32), (61, 86), (68, 67), (84, 55), (87, 10), (94, 72), (104, 36), (109, 119), (117, 105)]</t>
  </si>
  <si>
    <t>[(13, 99), (21, 100), (23, 14), (32, 41), (36, 135), (41, 10), (44, 72), (52, 34), (60, 105), (64, 16), (67, 103), (80, 43), (84, 49), (89, 15), (94, 92), (108, 110), (115, 92)]</t>
  </si>
  <si>
    <t>[(6, 41), (13, 103), (21, 84), (37, 124), (45, 79), (62, 132), (68, 62), (79, 36), (85, 96), (92, 95), (105, 28), (109, 90), (115, 73)]</t>
  </si>
  <si>
    <t>[(9, 44), (12, 116), (21, 92), (32, 23), (36, 123), (41, 10), (45, 112), (61, 137), (71, 65), (85, 123), (93, 91), (102, 30), (108, 100), (118, 101)]</t>
  </si>
  <si>
    <t>[(6, 32), (12, 153), (17, 9), (21, 72), (36, 124), (45, 102), (61, 94), (65, 10), (67, 65), (78, 45), (83, 123), (92, 86), (100, 40), (108, 108), (116, 94)]</t>
  </si>
  <si>
    <t>[(12, 114), (23, 82), (36, 106), (45, 83), (55, 32), (60, 85), (70, 79), (79, 46), (84, 148), (93, 65), (108, 124), (116, 88)]</t>
  </si>
  <si>
    <t>[(9, 40), (12, 108), (22, 55), (31, 18), (37, 84), (46, 75), (54, 36), (60, 115), (69, 87), (79, 31), (85, 115), (91, 81), (109, 117), (113, 10), (117, 84)]</t>
  </si>
  <si>
    <t>[(12, 130), (20, 96), (32, 36), (37, 82), (40, 14), (45, 89), (61, 98), (69, 72), (79, 34), (85, 88), (93, 65), (103, 54), (109, 141), (113, 14), (117, 86)]</t>
  </si>
  <si>
    <t>[(8, 31), (13, 125), (20, 95), (36, 113), (43, 123), (60, 103), (65, 7), (68, 69), (85, 119), (89, 14), (91, 82), (105, 29), (109, 120), (116, 96)]</t>
  </si>
  <si>
    <t>[(13, 146), (23, 94), (31, 33), (36, 117), (46, 92), (62, 94), (64, 14), (69, 95), (79, 14), (84, 135), (94, 90), (95, 12), (103, 41), (108, 108), (118, 67)]</t>
  </si>
  <si>
    <t>[(12, 101), (24, 49), (34, 32), (37, 108), (47, 80), (59, 108), (67, 12), (68, 89), (84, 100), (89, 4), (91, 78), (103, 44), (108, 111), (117, 95)]</t>
  </si>
  <si>
    <t>[(5, 27), (12, 110), (21, 84), (31, 31), (36, 71), (45, 61), (53, 34), (60, 100), (69, 83), (79, 15), (85, 86), (92, 67), (103, 38), (109, 43), (117, 81)]</t>
  </si>
  <si>
    <t>[(5, 29), (13, 125), (20, 98), (33, 31), (37, 101), (45, 70), (55, 27), (60, 122), (70, 69), (85, 117), (92, 77), (104, 38), (108, 118), (116, 77)]</t>
  </si>
  <si>
    <t>[(12, 129), (21, 74), (37, 105), (40, 12), (46, 76), (54, 31), (60, 100), (66, 11), (69, 75), (84, 59), (89, 10), (94, 80), (109, 109), (114, 61)]</t>
  </si>
  <si>
    <t>[(8, 39), (13, 145), (17, 12), (20, 103), (36, 84), (42, 8), (45, 110), (57, 41), (60, 116), (64, 8), (69, 86), (78, 40), (84, 89), (93, 71), (104, 35), (108, 46), (117, 79)]</t>
  </si>
  <si>
    <t>[(7, 26), (12, 121), (22, 83), (36, 107), (41, 14), (46, 100), (54, 28), (61, 72), (70, 86), (85, 125), (91, 81), (103, 36), (108, 127), (117, 67)]</t>
  </si>
  <si>
    <t>[(13, 97), (19, 101), (36, 122), (45, 63), (56, 39), (60, 80), (64, 9), (68, 74), (84, 130), (93, 64), (103, 36), (109, 91), (111, 13), (116, 97)]</t>
  </si>
  <si>
    <t>[(13, 124), (16, 8), (20, 72), (33, 34), (37, 66), (44, 90), (61, 109), (67, 135), (79, 29), (85, 94), (90, 6), (92, 86), (108, 87), (115, 93)]</t>
  </si>
  <si>
    <t>[(9, 25), (12, 85), (20, 65), (30, 22), (36, 135), (43, 96), (54, 26), (60, 113), (68, 57), (81, 33), (85, 108), (90, 12), (93, 52), (108, 91), (117, 87)]</t>
  </si>
  <si>
    <t>[(13, 102), (18, 11), (21, 87), (38, 112), (45, 56), (56, 23), (61, 76), (66, 14), (84, 120), (92, 51), (103, 27), (109, 103), (112, 11), (116, 87)]</t>
  </si>
  <si>
    <t>[(13, 112), (37, 48), (41, 15), (45, 62), (57, 41), (60, 98), (66, 12), (68, 98), (84, 104), (91, 14), (91, 53), (104, 46), (109, 84), (118, 99)]</t>
  </si>
  <si>
    <t>[(6, 41), (12, 103), (22, 115), (37, 122), (44, 78), (60, 110), (64, 11), (68, 68), (81, 24), (85, 133), (93, 39), (102, 36), (108, 115), (112, 8), (118, 95)]</t>
  </si>
  <si>
    <t>[(7, 32), (13, 110), (19, 108), (37, 108), (44, 85), (61, 111), (66, 8), (70, 95), (78, 37), (84, 80), (91, 54), (109, 80), (115, 64)]</t>
  </si>
  <si>
    <t>[(8, 39), (12, 26), (20, 52), (28, 27), (35, 76), (41, 9), (44, 84), (59, 29), (61, 117), (67, 88), (85, 120), (93, 77), (108, 88), (116, 57)]</t>
  </si>
  <si>
    <t>[(8, 38), (13, 122), (19, 10), (21, 49), (37, 80), (44, 81), (60, 69), (69, 109), (85, 81), (93, 86), (104, 22), (109, 96), (116, 66)]</t>
  </si>
  <si>
    <t>[(6, 28), (13, 97), (16, 12), (20, 81), (36, 115), (44, 89), (60, 78), (68, 86), (80, 24), (84, 87), (92, 104), (109, 101), (115, 71)]</t>
  </si>
  <si>
    <t>[(12, 93), (21, 86), (36, 107), (45, 92), (58, 40), (61, 82), (68, 77), (76, 10), (84, 55), (93, 62), (106, 38), (109, 122), (116, 57)]</t>
  </si>
  <si>
    <t>[(12, 99), (21, 105), (36, 121), (45, 53), (57, 36), (60, 79), (65, 11), (68, 52), (78, 36), (85, 100), (93, 95), (104, 45), (108, 122), (117, 85)]</t>
  </si>
  <si>
    <t>[(6, 33), (13, 93), (17, 13), (19, 64), (33, 17), (36, 101), (46, 66), (57, 33), (61, 92), (69, 102), (85, 135), (93, 86), (109, 162), (112, 11), (116, 62)]</t>
  </si>
  <si>
    <t>[(8, 21), (12, 82), (21, 54), (31, 25), (36, 88), (43, 83), (57, 19), (61, 87), (70, 76), (83, 73), (89, 13), (93, 80), (101, 27), (108, 88)]</t>
  </si>
  <si>
    <t>[(7, 26), (12, 120), (16, 12), (20, 68), (33, 30), (37, 87), (45, 85), (55, 20), (61, 91), (68, 101), (80, 38), (84, 109), (93, 69), (102, 24), (109, 104), (116, 82)]</t>
  </si>
  <si>
    <t>[(13, 130), (37, 110), (40, 12), (44, 106), (56, 30), (60, 146), (66, 15), (70, 67), (80, 29), (84, 110), (93, 54), (104, 31), (110, 72), (116, 12), (115, 64)]</t>
  </si>
  <si>
    <t>[(7, 38), (13, 98), (22, 58), (34, 32), (37, 82), (45, 51), (60, 86), (70, 65), (84, 95), (93, 75), (103, 31), (109, 126), (116, 76)]</t>
  </si>
  <si>
    <t>[(8, 38), (12, 134), (16, 14), (19, 56), (32, 36), (37, 129), (45, 64), (61, 90), (65, 10), (68, 89), (84, 37), (85, 92), (89, 4), (95, 50), (110, 103), (115, 97)]</t>
  </si>
  <si>
    <t>[(8, 25), (13, 126), (20, 50), (32, 32), (37, 64), (44, 70), (54, 26), (60, 102), (69, 80), (80, 39), (85, 87), (93, 65), (104, 46), (108, 67), (116, 123)]</t>
  </si>
  <si>
    <t>[(9, 23), (12, 121), (22, 75), (33, 42), (36, 104), (46, 81), (56, 21), (59, 114), (63, 10), (69, 41), (80, 37), (85, 118), (93, 93), (109, 84), (114, 11), (117, 77)]</t>
  </si>
  <si>
    <t>[(13, 144), (17, 10), (18, 101), (36, 116), (44, 106), (55, 45), (61, 112), (64, 14), (69, 64), (84, 128), (95, 121), (103, 35), (108, 92), (114, 87)]</t>
  </si>
  <si>
    <t>[(9, 27), (13, 75), (21, 98), (29, 25), (35, 94), (45, 114), (61, 87), (68, 103), (85, 102), (93, 82), (104, 46), (108, 93), (116, 75)]</t>
  </si>
  <si>
    <t>[(12, 120), (16, 10), (21, 85), (33, 39), (36, 100), (39, 14), (45, 82), (48, 12), (54, 33), (60, 101), (69, 75), (84, 111), (87, 14), (93, 49), (104, 32), (108, 144), (116, 36)]</t>
  </si>
  <si>
    <t>[(13, 92), (18, 11), (20, 79), (33, 33), (37, 95), (42, 12), (43, 80), (56, 38), (60, 121), (65, 10), (70, 70), (80, 34), (84, 96), (94, 66), (108, 109)]</t>
  </si>
  <si>
    <t>[(13, 73), (20, 104), (36, 116), (41, 14), (44, 85), (56, 30), (60, 142), (65, 11), (69, 88), (79, 35), (85, 89), (94, 116), (109, 111), (113, 11), (116, 62)]</t>
  </si>
  <si>
    <t>[(6, 39), (13, 72), (16, 12), (20, 116), (35, 84), (45, 59), (52, 40), (60, 115), (65, 8), (68, 83), (85, 117), (91, 108), (103, 20), (108, 75), (116, 89)]</t>
  </si>
  <si>
    <t>[(8, 42), (13, 66), (21, 75), (32, 30), (36, 80), (43, 9), (45, 102), (60, 70), (69, 97), (79, 39), (85, 57), (94, 110), (109, 95), (116, 67)]</t>
  </si>
  <si>
    <t>[(13, 157), (17, 5), (22, 73), (34, 23), (36, 132), (44, 85), (54, 40), (60, 131), (68, 97), (81, 33), (84, 149), (88, 13), (92, 85), (102, 45), (109, 113), (112, 15), (117, 71)]</t>
  </si>
  <si>
    <t>[(13, 104), (20, 84), (31, 24), (37, 113), (45, 90), (57, 31), (60, 106), (71, 79), (84, 91), (90, 84), (105, 27), (109, 107), (110, 9), (117, 102)]</t>
  </si>
  <si>
    <t>[(12, 49), (17, 13), (20, 48), (33, 45), (36, 76), (46, 107), (55, 40), (60, 118), (69, 85), (80, 30), (85, 92), (91, 72), (104, 41), (109, 63), (113, 11), (115, 79)]</t>
  </si>
  <si>
    <t>[(9, 37), (12, 142), (17, 8), (20, 93), (34, 33), (36, 88), (46, 83), (60, 95), (68, 85), (85, 79), (92, 43), (103, 47), (108, 65), (117, 74)]</t>
  </si>
  <si>
    <t>[(12, 94), (20, 109), (38, 131), (46, 70), (60, 70), (69, 65), (77, 31), (85, 103), (95, 97), (104, 43), (108, 76), (112, 11), (117, 75)]</t>
  </si>
  <si>
    <t>[(8, 28), (13, 90), (21, 90), (30, 32), (37, 92), (44, 101), (61, 90), (68, 96), (77, 27), (85, 95), (88, 9), (91, 85), (109, 134), (116, 83)]</t>
  </si>
  <si>
    <t>[(5, 45), (13, 90), (17, 6), (20, 93), (32, 30), (36, 117), (44, 102), (61, 112), (65, 14), (70, 85), (84, 106), (89, 11), (95, 52), (109, 100), (117, 97)]</t>
  </si>
  <si>
    <t>[(13, 108), (21, 63), (32, 43), (37, 114), (39, 12), (44, 69), (53, 26), (61, 121), (64, 11), (69, 78), (81, 20), (84, 104), (94, 102), (106, 41), (108, 142)]</t>
  </si>
  <si>
    <t>[(13, 106), (19, 77), (30, 33), (37, 101), (46, 81), (61, 84), (70, 58), (80, 33), (84, 112), (93, 62), (104, 36), (108, 139), (116, 111)]</t>
  </si>
  <si>
    <t>[(7, 35), (13, 134), (21, 77), (36, 75), (44, 83), (60, 84), (68, 84), (81, 45), (84, 115), (88, 13), (92, 52), (105, 32), (108, 102)]</t>
  </si>
  <si>
    <t>[(12, 120), (16, 9), (21, 73), (32, 23), (36, 109), (41, 12), (44, 81), (61, 64), (65, 11), (68, 76), (78, 34), (85, 100), (92, 88), (104, 27), (109, 109), (113, 10), (117, 97)]</t>
  </si>
  <si>
    <t>[(6, 22), (12, 94), (21, 75), (37, 80), (41, 19), (43, 64), (53, 35), (61, 117), (69, 44), (81, 33), (85, 147), (88, 13), (91, 77), (109, 106), (117, 119)]</t>
  </si>
  <si>
    <t>[(12, 70), (20, 100), (36, 93), (44, 55), (60, 70), (67, 55), (79, 23), (85, 140), (93, 79), (102, 35), (108, 64), (113, 15), (117, 82)]</t>
  </si>
  <si>
    <t>[(12, 75), (20, 108), (33, 26), (36, 135), (44, 127), (56, 31), (60, 95), (65, 9), (71, 56), (84, 94), (88, 12), (91, 83), (105, 17), (109, 107), (111, 12), (117, 55)]</t>
  </si>
  <si>
    <t>[(12, 126), (16, 11), (20, 107), (36, 110), (42, 80), (61, 92), (70, 79), (80, 36), (84, 87), (109, 59), (111, 11), (116, 54)]</t>
  </si>
  <si>
    <t>[(12, 127), (22, 51), (36, 91), (46, 89), (55, 38), (61, 97), (66, 78), (80, 33), (84, 85), (89, 12), (93, 79), (108, 97), (114, 50), (119, 11)]</t>
  </si>
  <si>
    <t>[(10, 41), (12, 119), (19, 65), (36, 87), (46, 71), (52, 38), (61, 91), (70, 69), (80, 27), (85, 66), (89, 17), (92, 69), (108, 110), (116, 36)]</t>
  </si>
  <si>
    <t>[(6, 48), (13, 82), (20, 67), (36, 117), (45, 77), (57, 41), (61, 123), (69, 92), (85, 109), (93, 99), (109, 124), (116, 64)]</t>
  </si>
  <si>
    <t>[(13, 70), (20, 74), (36, 108), (43, 84), (53, 41), (60, 100), (70, 53), (80, 28), (85, 106), (89, 12), (92, 89), (104, 25), (110, 103), (116, 95)]</t>
  </si>
  <si>
    <t>[(6, 38), (13, 91), (20, 99), (37, 72), (42, 11), (45, 103), (60, 86), (69, 81), (85, 85), (94, 67), (104, 33), (108, 71), (118, 95)]</t>
  </si>
  <si>
    <t>[(10, 39), (13, 130), (21, 93), (36, 100), (40, 13), (44, 78), (61, 80), (63, 10), (67, 78), (80, 29), (84, 127), (88, 11), (103, 20), (109, 63), (115, 93)]</t>
  </si>
  <si>
    <t>[(13, 108), (15, 12), (21, 103), (32, 41), (37, 118), (43, 11), (44, 92), (56, 29), (61, 116), (64, 14), (69, 97), (78, 36), (85, 80), (91, 72), (108, 98)]</t>
  </si>
  <si>
    <t>[(13, 68), (20, 128), (37, 103), (44, 82), (61, 141), (69, 79), (85, 92), (93, 111), (108, 79), (113, 11), (117, 92)]</t>
  </si>
  <si>
    <t>[(13, 85), (20, 93), (30, 44), (37, 101), (45, 75), (61, 90), (85, 109), (87, 14), (93, 88), (103, 37), (109, 81), (116, 100)]</t>
  </si>
  <si>
    <t>[(13, 108), (17, 14), (22, 95), (30, 25), (36, 159), (44, 58), (57, 40), (61, 127), (64, 10), (69, 76), (80, 11), (85, 128), (103, 21), (109, 109), (113, 9), (117, 74)]</t>
  </si>
  <si>
    <t>[(7, 31), (12, 112), (21, 61), (37, 95), (42, 51), (56, 25), (61, 96), (64, 12), (68, 104), (85, 92), (89, 8), (108, 109), (116, 82)]</t>
  </si>
  <si>
    <t>[(6, 37), (13, 145), (31, 38), (37, 112), (44, 86), (53, 30), (61, 54), (70, 69), (81, 44), (85, 71), (92, 90), (101, 28), (109, 64), (113, 10), (115, 63)]</t>
  </si>
  <si>
    <t>[(8, 37), (13, 148), (32, 30), (36, 117), (41, 12), (45, 113), (61, 53), (68, 80), (78, 31), (84, 77), (92, 100), (109, 120), (116, 73)]</t>
  </si>
  <si>
    <t>[(13, 93), (20, 91), (34, 41), (37, 104), (44, 99), (57, 23), (61, 96), (68, 67), (85, 102), (92, 89), (109, 86), (116, 94)]</t>
  </si>
  <si>
    <t>[(7, 44), (13, 119), (21, 59), (30, 28), (37, 85), (41, 7), (44, 79), (55, 35), (61, 93), (69, 106), (78, 31), (84, 103), (89, 10), (91, 48), (110, 105)]</t>
  </si>
  <si>
    <t>[(9, 32), (13, 115), (16, 17), (20, 86), (33, 32), (37, 89), (42, 11), (45, 70), (54, 43), (61, 129), (69, 66), (84, 93), (89, 7), (92, 83), (108, 125), (118, 45)]</t>
  </si>
  <si>
    <t>[(13, 90), (21, 69), (36, 87), (44, 87), (56, 38), (61, 113), (70, 52), (78, 38), (84, 125), (91, 96), (109, 94), (117, 63)]</t>
  </si>
  <si>
    <t>[(12, 107), (17, 13), (20, 101), (36, 87), (42, 12), (44, 63), (60, 85), (68, 84), (79, 30), (85, 114), (89, 12), (94, 90), (108, 147), (112, 14), (116, 87)]</t>
  </si>
  <si>
    <t>[(7, 28), (13, 85), (17, 9), (21, 77), (36, 97), (41, 9), (43, 81), (60, 87), (67, 63), (80, 27), (86, 137), (93, 85), (102, 25), (108, 94), (117, 59)]</t>
  </si>
  <si>
    <t>[(8, 26), (13, 89), (33, 37), (36, 82), (41, 12), (45, 74), (46, 6), (56, 36), (61, 130), (65, 9), (68, 72), (79, 32), (85, 49), (91, 129), (105, 38), (109, 143), (116, 29)]</t>
  </si>
  <si>
    <t>[(12, 160), (17, 12), (19, 67), (36, 65), (39, 7), (44, 76), (56, 32), (60, 140), (69, 61), (78, 41), (84, 145), (94, 105), (103, 46), (108, 100), (113, 10), (115, 102)]</t>
  </si>
  <si>
    <t>[(7, 32), (13, 109), (38, 104), (44, 88), (52, 40), (60, 57), (69, 70), (79, 35), (84, 100), (88, 10), (93, 51), (109, 94), (116, 80)]</t>
  </si>
  <si>
    <t>[(9, 45), (13, 111), (21, 58), (33, 38), (36, 106), (45, 69), (60, 119), (63, 12), (69, 80), (77, 41), (85, 99), (92, 90), (105, 22), (108, 105), (115, 64)]</t>
  </si>
  <si>
    <t>[(12, 106), (21, 72), (30, 47), (36, 128), (44, 83), (55, 33), (60, 102), (64, 10), (70, 92), (84, 89), (94, 93), (109, 107), (117, 80)]</t>
  </si>
  <si>
    <t>[(5, 36), (13, 146), (16, 11), (21, 67), (36, 86), (44, 85), (60, 132), (68, 65), (80, 34), (85, 79), (92, 74), (104, 27), (108, 93), (117, 44)]</t>
  </si>
  <si>
    <t>[(6, 34), (12, 108), (15, 9), (21, 95), (37, 147), (45, 98), (54, 38), (61, 89), (64, 8), (68, 94), (79, 39), (83, 93), (95, 95), (109, 149), (111, 12), (117, 100)]</t>
  </si>
  <si>
    <t>[(12, 102), (20, 77), (37, 86), (45, 94), (57, 38), (60, 50), (64, 9), (69, 52), (79, 45), (84, 82), (94, 93), (104, 39), (108, 84), (118, 88)]</t>
  </si>
  <si>
    <t>[(7, 32), (13, 132), (20, 93), (36, 99), (43, 85), (61, 85), (70, 87), (79, 38), (83, 52), (92, 60), (108, 25), (108, 92), (117, 93)]</t>
  </si>
  <si>
    <t>paziente</t>
  </si>
  <si>
    <t>death hypo mean</t>
  </si>
  <si>
    <t>death hypo st dev</t>
  </si>
  <si>
    <t>ultra hypo mean</t>
  </si>
  <si>
    <t>ultra hypo st dev</t>
  </si>
  <si>
    <t>heavy hypo mean</t>
  </si>
  <si>
    <t>heavy hypo st dev</t>
  </si>
  <si>
    <t>severe hypo mean</t>
  </si>
  <si>
    <t>severe hypo st dev</t>
  </si>
  <si>
    <t>hypo mean</t>
  </si>
  <si>
    <t>hypo st dev</t>
  </si>
  <si>
    <t>time in range mean</t>
  </si>
  <si>
    <t>time in range st dev</t>
  </si>
  <si>
    <t>hyper mean</t>
  </si>
  <si>
    <t>hyper st dev</t>
  </si>
  <si>
    <t>severe hyper mean</t>
  </si>
  <si>
    <t>severe hyper st dev</t>
  </si>
  <si>
    <t>heavy hyper mean</t>
  </si>
  <si>
    <t>heavy hyper st dev</t>
  </si>
  <si>
    <t>ultra hyper mean</t>
  </si>
  <si>
    <t>ultra hyper st dev</t>
  </si>
  <si>
    <t>death hyper mean</t>
  </si>
  <si>
    <t>death hyper st dev</t>
  </si>
  <si>
    <t>reward mean</t>
  </si>
  <si>
    <t>reward st dev</t>
  </si>
  <si>
    <t>LBGI mean of means</t>
  </si>
  <si>
    <t>LBGI mean of std</t>
  </si>
  <si>
    <t>HBGI mean of means</t>
  </si>
  <si>
    <t>HBGI mean of std</t>
  </si>
  <si>
    <t>RI mean of means</t>
  </si>
  <si>
    <t>RI mean of std</t>
  </si>
  <si>
    <t>cap iper mean</t>
  </si>
  <si>
    <t>cap ipo mean</t>
  </si>
  <si>
    <t>soglia iper mean</t>
  </si>
  <si>
    <t>soglia ipo mean</t>
  </si>
  <si>
    <t>ripetizioni</t>
  </si>
  <si>
    <t>start time</t>
  </si>
  <si>
    <t>adolescent#001</t>
  </si>
  <si>
    <t>0.1</t>
  </si>
  <si>
    <t>5_days_1000_times</t>
  </si>
  <si>
    <t>adolescent#002</t>
  </si>
  <si>
    <t>0.07</t>
  </si>
  <si>
    <t>adolescent#003</t>
  </si>
  <si>
    <t>0.11</t>
  </si>
  <si>
    <t>0.05</t>
  </si>
  <si>
    <t>adolescent#004</t>
  </si>
  <si>
    <t>adolescent#005</t>
  </si>
  <si>
    <t>adolescent#006</t>
  </si>
  <si>
    <t>adolescent#007</t>
  </si>
  <si>
    <t>0.08</t>
  </si>
  <si>
    <t>adolescent#008</t>
  </si>
  <si>
    <t>0.14</t>
  </si>
  <si>
    <t>adolescent#009</t>
  </si>
  <si>
    <t>adolescent#010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</si>
</sst>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workbookViewId="0"/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8.6666666666666679</v>
      </c>
      <c r="B2">
        <v>4.625</v>
      </c>
      <c r="C2">
        <v>3.833333333333333</v>
      </c>
      <c r="D2">
        <v>5.0416666666666661</v>
      </c>
      <c r="E2">
        <v>8.5416666666666661</v>
      </c>
      <c r="F2">
        <v>40.541666666666657</v>
      </c>
      <c r="G2">
        <v>13.625</v>
      </c>
      <c r="H2">
        <v>11.91666666666667</v>
      </c>
      <c r="I2">
        <v>2.833333333333333</v>
      </c>
      <c r="J2">
        <v>0.375</v>
      </c>
      <c r="K2">
        <v>0</v>
      </c>
      <c r="L2">
        <v>-1</v>
      </c>
      <c r="M2">
        <v>36.637350363320827</v>
      </c>
      <c r="N2">
        <v>37.753146996009463</v>
      </c>
      <c r="O2">
        <v>17.099085577675119</v>
      </c>
      <c r="P2">
        <v>19.13304294862866</v>
      </c>
      <c r="Q2">
        <v>53.73643594099596</v>
      </c>
      <c r="R2">
        <v>42.32461979246083</v>
      </c>
      <c r="S2" t="s">
        <v>29</v>
      </c>
      <c r="T2" t="s">
        <v>30</v>
      </c>
      <c r="U2">
        <v>170</v>
      </c>
      <c r="V2">
        <v>90</v>
      </c>
      <c r="W2" t="s">
        <v>31</v>
      </c>
      <c r="X2">
        <v>1024</v>
      </c>
      <c r="Y2">
        <v>1024</v>
      </c>
      <c r="Z2">
        <v>2400</v>
      </c>
      <c r="AA2">
        <v>1</v>
      </c>
      <c r="AB2" t="s">
        <v>32</v>
      </c>
      <c r="AC2">
        <v>47.108341932296753</v>
      </c>
    </row>
    <row r="3" spans="1:29" x14ac:dyDescent="0.3">
      <c r="A3">
        <v>3.916666666666667</v>
      </c>
      <c r="B3">
        <v>5.083333333333333</v>
      </c>
      <c r="C3">
        <v>6.5</v>
      </c>
      <c r="D3">
        <v>6</v>
      </c>
      <c r="E3">
        <v>8.875</v>
      </c>
      <c r="F3">
        <v>39.458333333333343</v>
      </c>
      <c r="G3">
        <v>14.54166666666667</v>
      </c>
      <c r="H3">
        <v>13.70833333333333</v>
      </c>
      <c r="I3">
        <v>1.916666666666667</v>
      </c>
      <c r="J3">
        <v>0</v>
      </c>
      <c r="K3">
        <v>0</v>
      </c>
      <c r="L3">
        <v>-1</v>
      </c>
      <c r="M3">
        <v>30.848779343350419</v>
      </c>
      <c r="N3">
        <v>31.597386836996161</v>
      </c>
      <c r="O3">
        <v>16.720910846880908</v>
      </c>
      <c r="P3">
        <v>17.285040415588419</v>
      </c>
      <c r="Q3">
        <v>47.569690190231327</v>
      </c>
      <c r="R3">
        <v>36.016211309565911</v>
      </c>
      <c r="S3" t="s">
        <v>29</v>
      </c>
      <c r="T3" t="s">
        <v>30</v>
      </c>
      <c r="U3">
        <v>170</v>
      </c>
      <c r="V3">
        <v>90</v>
      </c>
      <c r="W3" t="s">
        <v>31</v>
      </c>
      <c r="X3">
        <v>1024</v>
      </c>
      <c r="Y3">
        <v>1024</v>
      </c>
      <c r="Z3">
        <v>2400</v>
      </c>
      <c r="AA3">
        <v>2</v>
      </c>
      <c r="AB3" t="s">
        <v>33</v>
      </c>
      <c r="AC3">
        <v>47.144052505493157</v>
      </c>
    </row>
    <row r="4" spans="1:29" x14ac:dyDescent="0.3">
      <c r="A4">
        <v>9.5833333333333339</v>
      </c>
      <c r="B4">
        <v>5.25</v>
      </c>
      <c r="C4">
        <v>3.833333333333333</v>
      </c>
      <c r="D4">
        <v>4.833333333333333</v>
      </c>
      <c r="E4">
        <v>8.6666666666666679</v>
      </c>
      <c r="F4">
        <v>32.75</v>
      </c>
      <c r="G4">
        <v>13.58333333333333</v>
      </c>
      <c r="H4">
        <v>17.791666666666671</v>
      </c>
      <c r="I4">
        <v>3.708333333333333</v>
      </c>
      <c r="J4">
        <v>0</v>
      </c>
      <c r="K4">
        <v>0</v>
      </c>
      <c r="L4">
        <v>-1</v>
      </c>
      <c r="M4">
        <v>41.174767023538173</v>
      </c>
      <c r="N4">
        <v>38.703381555960881</v>
      </c>
      <c r="O4">
        <v>21.357775796514009</v>
      </c>
      <c r="P4">
        <v>19.733882224051229</v>
      </c>
      <c r="Q4">
        <v>62.532542820052171</v>
      </c>
      <c r="R4">
        <v>43.44396219843464</v>
      </c>
      <c r="S4" t="s">
        <v>29</v>
      </c>
      <c r="T4" t="s">
        <v>30</v>
      </c>
      <c r="U4">
        <v>170</v>
      </c>
      <c r="V4">
        <v>90</v>
      </c>
      <c r="W4" t="s">
        <v>31</v>
      </c>
      <c r="X4">
        <v>1024</v>
      </c>
      <c r="Y4">
        <v>1024</v>
      </c>
      <c r="Z4">
        <v>2400</v>
      </c>
      <c r="AA4">
        <v>3</v>
      </c>
      <c r="AB4" t="s">
        <v>34</v>
      </c>
      <c r="AC4">
        <v>46.728917360305793</v>
      </c>
    </row>
    <row r="5" spans="1:29" x14ac:dyDescent="0.3">
      <c r="A5">
        <v>5.083333333333333</v>
      </c>
      <c r="B5">
        <v>1.416666666666667</v>
      </c>
      <c r="C5">
        <v>4.3333333333333339</v>
      </c>
      <c r="D5">
        <v>6.4166666666666661</v>
      </c>
      <c r="E5">
        <v>9.9166666666666661</v>
      </c>
      <c r="F5">
        <v>40.333333333333329</v>
      </c>
      <c r="G5">
        <v>18.25</v>
      </c>
      <c r="H5">
        <v>11.91666666666667</v>
      </c>
      <c r="I5">
        <v>2.333333333333333</v>
      </c>
      <c r="J5">
        <v>0</v>
      </c>
      <c r="K5">
        <v>0</v>
      </c>
      <c r="L5">
        <v>-1</v>
      </c>
      <c r="M5">
        <v>26.628279572778592</v>
      </c>
      <c r="N5">
        <v>31.25749865231046</v>
      </c>
      <c r="O5">
        <v>16.601786411896729</v>
      </c>
      <c r="P5">
        <v>17.02084271998994</v>
      </c>
      <c r="Q5">
        <v>43.230065984675321</v>
      </c>
      <c r="R5">
        <v>35.591295409100027</v>
      </c>
      <c r="S5" t="s">
        <v>29</v>
      </c>
      <c r="T5" t="s">
        <v>30</v>
      </c>
      <c r="U5">
        <v>170</v>
      </c>
      <c r="V5">
        <v>90</v>
      </c>
      <c r="W5" t="s">
        <v>31</v>
      </c>
      <c r="X5">
        <v>1024</v>
      </c>
      <c r="Y5">
        <v>1024</v>
      </c>
      <c r="Z5">
        <v>2400</v>
      </c>
      <c r="AA5">
        <v>4</v>
      </c>
      <c r="AB5" t="s">
        <v>35</v>
      </c>
      <c r="AC5">
        <v>47.090427398681641</v>
      </c>
    </row>
    <row r="6" spans="1:29" x14ac:dyDescent="0.3">
      <c r="A6">
        <v>7.333333333333333</v>
      </c>
      <c r="B6">
        <v>3.333333333333333</v>
      </c>
      <c r="C6">
        <v>3</v>
      </c>
      <c r="D6">
        <v>4.291666666666667</v>
      </c>
      <c r="E6">
        <v>10.125</v>
      </c>
      <c r="F6">
        <v>42.541666666666657</v>
      </c>
      <c r="G6">
        <v>13.45833333333333</v>
      </c>
      <c r="H6">
        <v>13.70833333333333</v>
      </c>
      <c r="I6">
        <v>1.833333333333333</v>
      </c>
      <c r="J6">
        <v>0.375</v>
      </c>
      <c r="K6">
        <v>0</v>
      </c>
      <c r="L6">
        <v>-1</v>
      </c>
      <c r="M6">
        <v>31.67240522049995</v>
      </c>
      <c r="N6">
        <v>36.292857017401808</v>
      </c>
      <c r="O6">
        <v>16.416859562999822</v>
      </c>
      <c r="P6">
        <v>17.936445764014941</v>
      </c>
      <c r="Q6">
        <v>48.089264783499758</v>
      </c>
      <c r="R6">
        <v>40.483176223352608</v>
      </c>
      <c r="S6" t="s">
        <v>29</v>
      </c>
      <c r="T6" t="s">
        <v>30</v>
      </c>
      <c r="U6">
        <v>170</v>
      </c>
      <c r="V6">
        <v>90</v>
      </c>
      <c r="W6" t="s">
        <v>31</v>
      </c>
      <c r="X6">
        <v>1024</v>
      </c>
      <c r="Y6">
        <v>1024</v>
      </c>
      <c r="Z6">
        <v>2400</v>
      </c>
      <c r="AA6">
        <v>5</v>
      </c>
      <c r="AB6" t="s">
        <v>36</v>
      </c>
      <c r="AC6">
        <v>46.237336158752441</v>
      </c>
    </row>
    <row r="7" spans="1:29" x14ac:dyDescent="0.3">
      <c r="A7">
        <v>7.166666666666667</v>
      </c>
      <c r="B7">
        <v>4.958333333333333</v>
      </c>
      <c r="C7">
        <v>2.666666666666667</v>
      </c>
      <c r="D7">
        <v>3.125</v>
      </c>
      <c r="E7">
        <v>8.5</v>
      </c>
      <c r="F7">
        <v>41.916666666666671</v>
      </c>
      <c r="G7">
        <v>19.166666666666671</v>
      </c>
      <c r="H7">
        <v>12.5</v>
      </c>
      <c r="I7">
        <v>0</v>
      </c>
      <c r="J7">
        <v>0</v>
      </c>
      <c r="K7">
        <v>0</v>
      </c>
      <c r="L7">
        <v>-1</v>
      </c>
      <c r="M7">
        <v>34.391651149044122</v>
      </c>
      <c r="N7">
        <v>37.686824673958093</v>
      </c>
      <c r="O7">
        <v>13.13549778126589</v>
      </c>
      <c r="P7">
        <v>13.64107258932393</v>
      </c>
      <c r="Q7">
        <v>47.527148930310013</v>
      </c>
      <c r="R7">
        <v>40.07961595864986</v>
      </c>
      <c r="S7" t="s">
        <v>29</v>
      </c>
      <c r="T7" t="s">
        <v>30</v>
      </c>
      <c r="U7">
        <v>170</v>
      </c>
      <c r="V7">
        <v>90</v>
      </c>
      <c r="W7" t="s">
        <v>31</v>
      </c>
      <c r="X7">
        <v>1024</v>
      </c>
      <c r="Y7">
        <v>1024</v>
      </c>
      <c r="Z7">
        <v>2400</v>
      </c>
      <c r="AA7">
        <v>6</v>
      </c>
      <c r="AB7" t="s">
        <v>37</v>
      </c>
      <c r="AC7">
        <v>47.688848495483398</v>
      </c>
    </row>
    <row r="8" spans="1:29" x14ac:dyDescent="0.3">
      <c r="A8">
        <v>3.083333333333333</v>
      </c>
      <c r="B8">
        <v>2.625</v>
      </c>
      <c r="C8">
        <v>5.083333333333333</v>
      </c>
      <c r="D8">
        <v>5.375</v>
      </c>
      <c r="E8">
        <v>12.16666666666667</v>
      </c>
      <c r="F8">
        <v>37.875</v>
      </c>
      <c r="G8">
        <v>17.375</v>
      </c>
      <c r="H8">
        <v>16.333333333333329</v>
      </c>
      <c r="I8">
        <v>8.3333333333333343E-2</v>
      </c>
      <c r="J8">
        <v>0</v>
      </c>
      <c r="K8">
        <v>0</v>
      </c>
      <c r="L8">
        <v>-0.41020435711192538</v>
      </c>
      <c r="M8">
        <v>24.4631431645427</v>
      </c>
      <c r="N8">
        <v>28.668930513787679</v>
      </c>
      <c r="O8">
        <v>16.579198932381839</v>
      </c>
      <c r="P8">
        <v>15.23752570401313</v>
      </c>
      <c r="Q8">
        <v>41.042342096924543</v>
      </c>
      <c r="R8">
        <v>32.466748626631023</v>
      </c>
      <c r="S8" t="s">
        <v>29</v>
      </c>
      <c r="T8" t="s">
        <v>30</v>
      </c>
      <c r="U8">
        <v>170</v>
      </c>
      <c r="V8">
        <v>90</v>
      </c>
      <c r="W8" t="s">
        <v>31</v>
      </c>
      <c r="X8">
        <v>1024</v>
      </c>
      <c r="Y8">
        <v>1024</v>
      </c>
      <c r="Z8">
        <v>2400</v>
      </c>
      <c r="AA8">
        <v>7</v>
      </c>
      <c r="AB8" t="s">
        <v>38</v>
      </c>
      <c r="AC8">
        <v>47.269079208374023</v>
      </c>
    </row>
    <row r="9" spans="1:29" x14ac:dyDescent="0.3">
      <c r="A9">
        <v>39.125</v>
      </c>
      <c r="B9">
        <v>3.583333333333333</v>
      </c>
      <c r="C9">
        <v>2.958333333333333</v>
      </c>
      <c r="D9">
        <v>3.291666666666667</v>
      </c>
      <c r="E9">
        <v>6.708333333333333</v>
      </c>
      <c r="F9">
        <v>24.625</v>
      </c>
      <c r="G9">
        <v>11.75</v>
      </c>
      <c r="H9">
        <v>7.9583333333333339</v>
      </c>
      <c r="I9">
        <v>0</v>
      </c>
      <c r="J9">
        <v>0</v>
      </c>
      <c r="K9">
        <v>0</v>
      </c>
      <c r="L9">
        <v>-1</v>
      </c>
      <c r="M9">
        <v>69.384655848379111</v>
      </c>
      <c r="N9">
        <v>40.684604479949023</v>
      </c>
      <c r="O9">
        <v>14.848329872183831</v>
      </c>
      <c r="P9">
        <v>14.115835809659821</v>
      </c>
      <c r="Q9">
        <v>84.232985720562937</v>
      </c>
      <c r="R9">
        <v>43.063834737458791</v>
      </c>
      <c r="S9" t="s">
        <v>29</v>
      </c>
      <c r="T9" t="s">
        <v>30</v>
      </c>
      <c r="U9">
        <v>170</v>
      </c>
      <c r="V9">
        <v>90</v>
      </c>
      <c r="W9" t="s">
        <v>31</v>
      </c>
      <c r="X9">
        <v>1024</v>
      </c>
      <c r="Y9">
        <v>1024</v>
      </c>
      <c r="Z9">
        <v>2400</v>
      </c>
      <c r="AA9">
        <v>8</v>
      </c>
      <c r="AB9" t="s">
        <v>39</v>
      </c>
      <c r="AC9">
        <v>44.627333879470832</v>
      </c>
    </row>
    <row r="10" spans="1:29" x14ac:dyDescent="0.3">
      <c r="A10">
        <v>5.75</v>
      </c>
      <c r="B10">
        <v>2.75</v>
      </c>
      <c r="C10">
        <v>3.75</v>
      </c>
      <c r="D10">
        <v>5</v>
      </c>
      <c r="E10">
        <v>7.4583333333333339</v>
      </c>
      <c r="F10">
        <v>45.916666666666657</v>
      </c>
      <c r="G10">
        <v>16.125</v>
      </c>
      <c r="H10">
        <v>10.25</v>
      </c>
      <c r="I10">
        <v>3</v>
      </c>
      <c r="J10">
        <v>0</v>
      </c>
      <c r="K10">
        <v>0</v>
      </c>
      <c r="L10">
        <v>0.2715062723789845</v>
      </c>
      <c r="M10">
        <v>28.148652955479911</v>
      </c>
      <c r="N10">
        <v>33.984110754992543</v>
      </c>
      <c r="O10">
        <v>15.444241191407601</v>
      </c>
      <c r="P10">
        <v>17.590838518925551</v>
      </c>
      <c r="Q10">
        <v>43.592894146887517</v>
      </c>
      <c r="R10">
        <v>38.266922839529627</v>
      </c>
      <c r="S10" t="s">
        <v>29</v>
      </c>
      <c r="T10" t="s">
        <v>30</v>
      </c>
      <c r="U10">
        <v>170</v>
      </c>
      <c r="V10">
        <v>90</v>
      </c>
      <c r="W10" t="s">
        <v>31</v>
      </c>
      <c r="X10">
        <v>1024</v>
      </c>
      <c r="Y10">
        <v>1024</v>
      </c>
      <c r="Z10">
        <v>2400</v>
      </c>
      <c r="AA10">
        <v>9</v>
      </c>
      <c r="AB10" t="s">
        <v>40</v>
      </c>
      <c r="AC10">
        <v>46.661594152450562</v>
      </c>
    </row>
    <row r="11" spans="1:29" x14ac:dyDescent="0.3">
      <c r="A11">
        <v>2.875</v>
      </c>
      <c r="B11">
        <v>5.0416666666666661</v>
      </c>
      <c r="C11">
        <v>4.083333333333333</v>
      </c>
      <c r="D11">
        <v>4.25</v>
      </c>
      <c r="E11">
        <v>9.375</v>
      </c>
      <c r="F11">
        <v>38.833333333333329</v>
      </c>
      <c r="G11">
        <v>18.833333333333329</v>
      </c>
      <c r="H11">
        <v>13.33333333333333</v>
      </c>
      <c r="I11">
        <v>3.375</v>
      </c>
      <c r="J11">
        <v>0</v>
      </c>
      <c r="K11">
        <v>0</v>
      </c>
      <c r="L11">
        <v>0.34232903713976481</v>
      </c>
      <c r="M11">
        <v>27.25463881684912</v>
      </c>
      <c r="N11">
        <v>31.065608002492809</v>
      </c>
      <c r="O11">
        <v>17.224235452943319</v>
      </c>
      <c r="P11">
        <v>17.902200024296921</v>
      </c>
      <c r="Q11">
        <v>44.478874269792442</v>
      </c>
      <c r="R11">
        <v>35.854717489815499</v>
      </c>
      <c r="S11" t="s">
        <v>29</v>
      </c>
      <c r="T11" t="s">
        <v>30</v>
      </c>
      <c r="U11">
        <v>170</v>
      </c>
      <c r="V11">
        <v>90</v>
      </c>
      <c r="W11" t="s">
        <v>31</v>
      </c>
      <c r="X11">
        <v>1024</v>
      </c>
      <c r="Y11">
        <v>1024</v>
      </c>
      <c r="Z11">
        <v>2400</v>
      </c>
      <c r="AA11">
        <v>10</v>
      </c>
      <c r="AB11" t="s">
        <v>41</v>
      </c>
      <c r="AC11">
        <v>48.115942716598511</v>
      </c>
    </row>
    <row r="12" spans="1:29" x14ac:dyDescent="0.3">
      <c r="A12">
        <v>4.625</v>
      </c>
      <c r="B12">
        <v>4.958333333333333</v>
      </c>
      <c r="C12">
        <v>5.416666666666667</v>
      </c>
      <c r="D12">
        <v>4.791666666666667</v>
      </c>
      <c r="E12">
        <v>10.54166666666667</v>
      </c>
      <c r="F12">
        <v>38.583333333333329</v>
      </c>
      <c r="G12">
        <v>15.75</v>
      </c>
      <c r="H12">
        <v>13.29166666666667</v>
      </c>
      <c r="I12">
        <v>1</v>
      </c>
      <c r="J12">
        <v>1.041666666666667</v>
      </c>
      <c r="K12">
        <v>0</v>
      </c>
      <c r="L12">
        <v>-1</v>
      </c>
      <c r="M12">
        <v>31.497473854312229</v>
      </c>
      <c r="N12">
        <v>32.903712501040609</v>
      </c>
      <c r="O12">
        <v>16.372266662722271</v>
      </c>
      <c r="P12">
        <v>17.865051831373449</v>
      </c>
      <c r="Q12">
        <v>47.869740517034487</v>
      </c>
      <c r="R12">
        <v>37.440811600295149</v>
      </c>
      <c r="S12" t="s">
        <v>29</v>
      </c>
      <c r="T12" t="s">
        <v>30</v>
      </c>
      <c r="U12">
        <v>170</v>
      </c>
      <c r="V12">
        <v>90</v>
      </c>
      <c r="W12" t="s">
        <v>31</v>
      </c>
      <c r="X12">
        <v>1024</v>
      </c>
      <c r="Y12">
        <v>1024</v>
      </c>
      <c r="Z12">
        <v>2400</v>
      </c>
      <c r="AA12">
        <v>11</v>
      </c>
      <c r="AB12" t="s">
        <v>42</v>
      </c>
      <c r="AC12">
        <v>47.13457989692688</v>
      </c>
    </row>
    <row r="13" spans="1:29" x14ac:dyDescent="0.3">
      <c r="A13">
        <v>12.625</v>
      </c>
      <c r="B13">
        <v>3.666666666666667</v>
      </c>
      <c r="C13">
        <v>5.541666666666667</v>
      </c>
      <c r="D13">
        <v>3.75</v>
      </c>
      <c r="E13">
        <v>6.583333333333333</v>
      </c>
      <c r="F13">
        <v>34.375</v>
      </c>
      <c r="G13">
        <v>14.08333333333333</v>
      </c>
      <c r="H13">
        <v>17.041666666666661</v>
      </c>
      <c r="I13">
        <v>2.333333333333333</v>
      </c>
      <c r="J13">
        <v>0</v>
      </c>
      <c r="K13">
        <v>0</v>
      </c>
      <c r="L13">
        <v>-1</v>
      </c>
      <c r="M13">
        <v>41.106728212290989</v>
      </c>
      <c r="N13">
        <v>40.508679183056657</v>
      </c>
      <c r="O13">
        <v>20.19123706515914</v>
      </c>
      <c r="P13">
        <v>18.161471209214518</v>
      </c>
      <c r="Q13">
        <v>61.297965277450132</v>
      </c>
      <c r="R13">
        <v>44.393604557851972</v>
      </c>
      <c r="S13" t="s">
        <v>29</v>
      </c>
      <c r="T13" t="s">
        <v>30</v>
      </c>
      <c r="U13">
        <v>170</v>
      </c>
      <c r="V13">
        <v>90</v>
      </c>
      <c r="W13" t="s">
        <v>31</v>
      </c>
      <c r="X13">
        <v>1024</v>
      </c>
      <c r="Y13">
        <v>1024</v>
      </c>
      <c r="Z13">
        <v>2400</v>
      </c>
      <c r="AA13">
        <v>12</v>
      </c>
      <c r="AB13" t="s">
        <v>43</v>
      </c>
      <c r="AC13">
        <v>46.981543064117432</v>
      </c>
    </row>
    <row r="14" spans="1:29" x14ac:dyDescent="0.3">
      <c r="A14">
        <v>4</v>
      </c>
      <c r="B14">
        <v>4.9166666666666661</v>
      </c>
      <c r="C14">
        <v>5.291666666666667</v>
      </c>
      <c r="D14">
        <v>4.25</v>
      </c>
      <c r="E14">
        <v>10.16666666666667</v>
      </c>
      <c r="F14">
        <v>38.083333333333343</v>
      </c>
      <c r="G14">
        <v>15.41666666666667</v>
      </c>
      <c r="H14">
        <v>15.58333333333333</v>
      </c>
      <c r="I14">
        <v>2.291666666666667</v>
      </c>
      <c r="J14">
        <v>0</v>
      </c>
      <c r="K14">
        <v>0</v>
      </c>
      <c r="L14">
        <v>-1</v>
      </c>
      <c r="M14">
        <v>29.07828012249167</v>
      </c>
      <c r="N14">
        <v>32.260427755730582</v>
      </c>
      <c r="O14">
        <v>18.098853296338611</v>
      </c>
      <c r="P14">
        <v>17.342337321949099</v>
      </c>
      <c r="Q14">
        <v>47.177133418830287</v>
      </c>
      <c r="R14">
        <v>36.626382059534357</v>
      </c>
      <c r="S14" t="s">
        <v>29</v>
      </c>
      <c r="T14" t="s">
        <v>30</v>
      </c>
      <c r="U14">
        <v>170</v>
      </c>
      <c r="V14">
        <v>90</v>
      </c>
      <c r="W14" t="s">
        <v>31</v>
      </c>
      <c r="X14">
        <v>1024</v>
      </c>
      <c r="Y14">
        <v>1024</v>
      </c>
      <c r="Z14">
        <v>2400</v>
      </c>
      <c r="AA14">
        <v>13</v>
      </c>
      <c r="AB14" t="s">
        <v>44</v>
      </c>
      <c r="AC14">
        <v>46.962110280990601</v>
      </c>
    </row>
    <row r="15" spans="1:29" x14ac:dyDescent="0.3">
      <c r="A15">
        <v>4.833333333333333</v>
      </c>
      <c r="B15">
        <v>3.458333333333333</v>
      </c>
      <c r="C15">
        <v>5.166666666666667</v>
      </c>
      <c r="D15">
        <v>4.291666666666667</v>
      </c>
      <c r="E15">
        <v>9.375</v>
      </c>
      <c r="F15">
        <v>49.75</v>
      </c>
      <c r="G15">
        <v>12.375</v>
      </c>
      <c r="H15">
        <v>10.75</v>
      </c>
      <c r="I15">
        <v>0</v>
      </c>
      <c r="J15">
        <v>0</v>
      </c>
      <c r="K15">
        <v>0</v>
      </c>
      <c r="L15">
        <v>-1</v>
      </c>
      <c r="M15">
        <v>27.939566982976409</v>
      </c>
      <c r="N15">
        <v>33.191720240004408</v>
      </c>
      <c r="O15">
        <v>10.683435614098929</v>
      </c>
      <c r="P15">
        <v>11.817104463780719</v>
      </c>
      <c r="Q15">
        <v>38.623002597075342</v>
      </c>
      <c r="R15">
        <v>35.232573712384742</v>
      </c>
      <c r="S15" t="s">
        <v>29</v>
      </c>
      <c r="T15" t="s">
        <v>30</v>
      </c>
      <c r="U15">
        <v>170</v>
      </c>
      <c r="V15">
        <v>90</v>
      </c>
      <c r="W15" t="s">
        <v>31</v>
      </c>
      <c r="X15">
        <v>1024</v>
      </c>
      <c r="Y15">
        <v>1024</v>
      </c>
      <c r="Z15">
        <v>2400</v>
      </c>
      <c r="AA15">
        <v>14</v>
      </c>
      <c r="AB15" t="s">
        <v>45</v>
      </c>
      <c r="AC15">
        <v>47.057184219360352</v>
      </c>
    </row>
    <row r="16" spans="1:29" x14ac:dyDescent="0.3">
      <c r="A16">
        <v>1.958333333333333</v>
      </c>
      <c r="B16">
        <v>0.91666666666666663</v>
      </c>
      <c r="C16">
        <v>6.4166666666666661</v>
      </c>
      <c r="D16">
        <v>6.041666666666667</v>
      </c>
      <c r="E16">
        <v>11.83333333333333</v>
      </c>
      <c r="F16">
        <v>45.291666666666671</v>
      </c>
      <c r="G16">
        <v>15.66666666666667</v>
      </c>
      <c r="H16">
        <v>11.875</v>
      </c>
      <c r="I16">
        <v>0</v>
      </c>
      <c r="J16">
        <v>0</v>
      </c>
      <c r="K16">
        <v>0</v>
      </c>
      <c r="L16">
        <v>-1</v>
      </c>
      <c r="M16">
        <v>20.54045951279215</v>
      </c>
      <c r="N16">
        <v>24.045031711063491</v>
      </c>
      <c r="O16">
        <v>13.19011782566316</v>
      </c>
      <c r="P16">
        <v>14.151449370301259</v>
      </c>
      <c r="Q16">
        <v>33.730577338455312</v>
      </c>
      <c r="R16">
        <v>27.900305899151871</v>
      </c>
      <c r="S16" t="s">
        <v>29</v>
      </c>
      <c r="T16" t="s">
        <v>30</v>
      </c>
      <c r="U16">
        <v>170</v>
      </c>
      <c r="V16">
        <v>90</v>
      </c>
      <c r="W16" t="s">
        <v>31</v>
      </c>
      <c r="X16">
        <v>1024</v>
      </c>
      <c r="Y16">
        <v>1024</v>
      </c>
      <c r="Z16">
        <v>2400</v>
      </c>
      <c r="AA16">
        <v>15</v>
      </c>
      <c r="AB16" t="s">
        <v>46</v>
      </c>
      <c r="AC16">
        <v>47.549853086471558</v>
      </c>
    </row>
    <row r="17" spans="1:29" x14ac:dyDescent="0.3">
      <c r="A17">
        <v>3.75</v>
      </c>
      <c r="B17">
        <v>3.5</v>
      </c>
      <c r="C17">
        <v>4.666666666666667</v>
      </c>
      <c r="D17">
        <v>3.041666666666667</v>
      </c>
      <c r="E17">
        <v>8.0416666666666661</v>
      </c>
      <c r="F17">
        <v>42.583333333333343</v>
      </c>
      <c r="G17">
        <v>13.375</v>
      </c>
      <c r="H17">
        <v>18.708333333333329</v>
      </c>
      <c r="I17">
        <v>2.333333333333333</v>
      </c>
      <c r="J17">
        <v>0</v>
      </c>
      <c r="K17">
        <v>0</v>
      </c>
      <c r="L17">
        <v>-1</v>
      </c>
      <c r="M17">
        <v>26.397232030294791</v>
      </c>
      <c r="N17">
        <v>31.792220032314159</v>
      </c>
      <c r="O17">
        <v>17.509960278152949</v>
      </c>
      <c r="P17">
        <v>16.975782372554001</v>
      </c>
      <c r="Q17">
        <v>43.90719230844774</v>
      </c>
      <c r="R17">
        <v>36.040566612407652</v>
      </c>
      <c r="S17" t="s">
        <v>29</v>
      </c>
      <c r="T17" t="s">
        <v>30</v>
      </c>
      <c r="U17">
        <v>170</v>
      </c>
      <c r="V17">
        <v>90</v>
      </c>
      <c r="W17" t="s">
        <v>31</v>
      </c>
      <c r="X17">
        <v>1024</v>
      </c>
      <c r="Y17">
        <v>1024</v>
      </c>
      <c r="Z17">
        <v>2400</v>
      </c>
      <c r="AA17">
        <v>16</v>
      </c>
      <c r="AB17" t="s">
        <v>47</v>
      </c>
      <c r="AC17">
        <v>47.35587739944458</v>
      </c>
    </row>
    <row r="18" spans="1:29" x14ac:dyDescent="0.3">
      <c r="A18">
        <v>0.95833333333333326</v>
      </c>
      <c r="B18">
        <v>1.708333333333333</v>
      </c>
      <c r="C18">
        <v>3.958333333333333</v>
      </c>
      <c r="D18">
        <v>3.791666666666667</v>
      </c>
      <c r="E18">
        <v>11</v>
      </c>
      <c r="F18">
        <v>48.25</v>
      </c>
      <c r="G18">
        <v>15.41666666666667</v>
      </c>
      <c r="H18">
        <v>12.45833333333333</v>
      </c>
      <c r="I18">
        <v>1.708333333333333</v>
      </c>
      <c r="J18">
        <v>0.75</v>
      </c>
      <c r="K18">
        <v>0</v>
      </c>
      <c r="L18">
        <v>-0.71228079549266954</v>
      </c>
      <c r="M18">
        <v>17.557288272649359</v>
      </c>
      <c r="N18">
        <v>22.420418471615211</v>
      </c>
      <c r="O18">
        <v>15.02995504548996</v>
      </c>
      <c r="P18">
        <v>18.040061625989551</v>
      </c>
      <c r="Q18">
        <v>32.587243318139308</v>
      </c>
      <c r="R18">
        <v>28.777056623495131</v>
      </c>
      <c r="S18" t="s">
        <v>29</v>
      </c>
      <c r="T18" t="s">
        <v>30</v>
      </c>
      <c r="U18">
        <v>170</v>
      </c>
      <c r="V18">
        <v>90</v>
      </c>
      <c r="W18" t="s">
        <v>31</v>
      </c>
      <c r="X18">
        <v>1024</v>
      </c>
      <c r="Y18">
        <v>1024</v>
      </c>
      <c r="Z18">
        <v>2400</v>
      </c>
      <c r="AA18">
        <v>17</v>
      </c>
      <c r="AB18" t="s">
        <v>48</v>
      </c>
      <c r="AC18">
        <v>47.510234117507927</v>
      </c>
    </row>
    <row r="19" spans="1:29" x14ac:dyDescent="0.3">
      <c r="A19">
        <v>5.625</v>
      </c>
      <c r="B19">
        <v>5.625</v>
      </c>
      <c r="C19">
        <v>5.9583333333333339</v>
      </c>
      <c r="D19">
        <v>5.458333333333333</v>
      </c>
      <c r="E19">
        <v>9.125</v>
      </c>
      <c r="F19">
        <v>36.125</v>
      </c>
      <c r="G19">
        <v>14.58333333333333</v>
      </c>
      <c r="H19">
        <v>16.208333333333329</v>
      </c>
      <c r="I19">
        <v>1.291666666666667</v>
      </c>
      <c r="J19">
        <v>0</v>
      </c>
      <c r="K19">
        <v>0</v>
      </c>
      <c r="L19">
        <v>-1</v>
      </c>
      <c r="M19">
        <v>33.715484586763168</v>
      </c>
      <c r="N19">
        <v>34.042594934013017</v>
      </c>
      <c r="O19">
        <v>17.467230857282122</v>
      </c>
      <c r="P19">
        <v>16.74580416791509</v>
      </c>
      <c r="Q19">
        <v>51.182715444045293</v>
      </c>
      <c r="R19">
        <v>37.938374069949958</v>
      </c>
      <c r="S19" t="s">
        <v>29</v>
      </c>
      <c r="T19" t="s">
        <v>30</v>
      </c>
      <c r="U19">
        <v>170</v>
      </c>
      <c r="V19">
        <v>90</v>
      </c>
      <c r="W19" t="s">
        <v>31</v>
      </c>
      <c r="X19">
        <v>1024</v>
      </c>
      <c r="Y19">
        <v>1024</v>
      </c>
      <c r="Z19">
        <v>2400</v>
      </c>
      <c r="AA19">
        <v>18</v>
      </c>
      <c r="AB19" t="s">
        <v>49</v>
      </c>
      <c r="AC19">
        <v>46.875234127044678</v>
      </c>
    </row>
    <row r="20" spans="1:29" x14ac:dyDescent="0.3">
      <c r="A20">
        <v>9.375</v>
      </c>
      <c r="B20">
        <v>6.5</v>
      </c>
      <c r="C20">
        <v>3.791666666666667</v>
      </c>
      <c r="D20">
        <v>4.3333333333333339</v>
      </c>
      <c r="E20">
        <v>7.291666666666667</v>
      </c>
      <c r="F20">
        <v>32.958333333333343</v>
      </c>
      <c r="G20">
        <v>17.916666666666671</v>
      </c>
      <c r="H20">
        <v>15.04166666666667</v>
      </c>
      <c r="I20">
        <v>2.583333333333333</v>
      </c>
      <c r="J20">
        <v>0.20833333333333329</v>
      </c>
      <c r="K20">
        <v>0</v>
      </c>
      <c r="L20">
        <v>-1</v>
      </c>
      <c r="M20">
        <v>42.556301903411708</v>
      </c>
      <c r="N20">
        <v>38.892737593792823</v>
      </c>
      <c r="O20">
        <v>18.341077020740929</v>
      </c>
      <c r="P20">
        <v>18.256775819708491</v>
      </c>
      <c r="Q20">
        <v>60.89737892415264</v>
      </c>
      <c r="R20">
        <v>42.964577280251667</v>
      </c>
      <c r="S20" t="s">
        <v>29</v>
      </c>
      <c r="T20" t="s">
        <v>30</v>
      </c>
      <c r="U20">
        <v>170</v>
      </c>
      <c r="V20">
        <v>90</v>
      </c>
      <c r="W20" t="s">
        <v>31</v>
      </c>
      <c r="X20">
        <v>1024</v>
      </c>
      <c r="Y20">
        <v>1024</v>
      </c>
      <c r="Z20">
        <v>2400</v>
      </c>
      <c r="AA20">
        <v>19</v>
      </c>
      <c r="AB20" t="s">
        <v>50</v>
      </c>
      <c r="AC20">
        <v>47.252225875854492</v>
      </c>
    </row>
    <row r="21" spans="1:29" x14ac:dyDescent="0.3">
      <c r="A21">
        <v>7.541666666666667</v>
      </c>
      <c r="B21">
        <v>5.375</v>
      </c>
      <c r="C21">
        <v>5.75</v>
      </c>
      <c r="D21">
        <v>4.291666666666667</v>
      </c>
      <c r="E21">
        <v>6.0833333333333339</v>
      </c>
      <c r="F21">
        <v>36.916666666666657</v>
      </c>
      <c r="G21">
        <v>14.95833333333333</v>
      </c>
      <c r="H21">
        <v>19.083333333333329</v>
      </c>
      <c r="I21">
        <v>0</v>
      </c>
      <c r="J21">
        <v>0</v>
      </c>
      <c r="K21">
        <v>0</v>
      </c>
      <c r="L21">
        <v>-1</v>
      </c>
      <c r="M21">
        <v>36.489690892571687</v>
      </c>
      <c r="N21">
        <v>36.969904471571738</v>
      </c>
      <c r="O21">
        <v>16.725849125698339</v>
      </c>
      <c r="P21">
        <v>14.305558358268691</v>
      </c>
      <c r="Q21">
        <v>53.215540018270033</v>
      </c>
      <c r="R21">
        <v>39.641176024166732</v>
      </c>
      <c r="S21" t="s">
        <v>29</v>
      </c>
      <c r="T21" t="s">
        <v>30</v>
      </c>
      <c r="U21">
        <v>170</v>
      </c>
      <c r="V21">
        <v>90</v>
      </c>
      <c r="W21" t="s">
        <v>31</v>
      </c>
      <c r="X21">
        <v>1024</v>
      </c>
      <c r="Y21">
        <v>1024</v>
      </c>
      <c r="Z21">
        <v>2400</v>
      </c>
      <c r="AA21">
        <v>20</v>
      </c>
      <c r="AB21" t="s">
        <v>51</v>
      </c>
      <c r="AC21">
        <v>46.293433427810669</v>
      </c>
    </row>
    <row r="22" spans="1:29" x14ac:dyDescent="0.3">
      <c r="A22">
        <v>7.291666666666667</v>
      </c>
      <c r="B22">
        <v>4</v>
      </c>
      <c r="C22">
        <v>3.583333333333333</v>
      </c>
      <c r="D22">
        <v>4</v>
      </c>
      <c r="E22">
        <v>6.958333333333333</v>
      </c>
      <c r="F22">
        <v>43.5</v>
      </c>
      <c r="G22">
        <v>14.75</v>
      </c>
      <c r="H22">
        <v>13.83333333333333</v>
      </c>
      <c r="I22">
        <v>2.083333333333333</v>
      </c>
      <c r="J22">
        <v>0</v>
      </c>
      <c r="K22">
        <v>0</v>
      </c>
      <c r="L22">
        <v>-1</v>
      </c>
      <c r="M22">
        <v>30.35490532418234</v>
      </c>
      <c r="N22">
        <v>36.63556754998487</v>
      </c>
      <c r="O22">
        <v>17.966876417651001</v>
      </c>
      <c r="P22">
        <v>18.434862096674021</v>
      </c>
      <c r="Q22">
        <v>48.321781741833341</v>
      </c>
      <c r="R22">
        <v>41.012302425405153</v>
      </c>
      <c r="S22" t="s">
        <v>29</v>
      </c>
      <c r="T22" t="s">
        <v>30</v>
      </c>
      <c r="U22">
        <v>170</v>
      </c>
      <c r="V22">
        <v>90</v>
      </c>
      <c r="W22" t="s">
        <v>31</v>
      </c>
      <c r="X22">
        <v>1024</v>
      </c>
      <c r="Y22">
        <v>1024</v>
      </c>
      <c r="Z22">
        <v>2400</v>
      </c>
      <c r="AA22">
        <v>21</v>
      </c>
      <c r="AB22" t="s">
        <v>52</v>
      </c>
      <c r="AC22">
        <v>47.659950971603386</v>
      </c>
    </row>
    <row r="23" spans="1:29" x14ac:dyDescent="0.3">
      <c r="A23">
        <v>3.125</v>
      </c>
      <c r="B23">
        <v>3.958333333333333</v>
      </c>
      <c r="C23">
        <v>6.833333333333333</v>
      </c>
      <c r="D23">
        <v>5.25</v>
      </c>
      <c r="E23">
        <v>8.25</v>
      </c>
      <c r="F23">
        <v>38.625</v>
      </c>
      <c r="G23">
        <v>18.083333333333339</v>
      </c>
      <c r="H23">
        <v>15.875</v>
      </c>
      <c r="I23">
        <v>0</v>
      </c>
      <c r="J23">
        <v>0</v>
      </c>
      <c r="K23">
        <v>0</v>
      </c>
      <c r="L23">
        <v>-1</v>
      </c>
      <c r="M23">
        <v>28.931740822920251</v>
      </c>
      <c r="N23">
        <v>30.04755674180732</v>
      </c>
      <c r="O23">
        <v>14.77636454636507</v>
      </c>
      <c r="P23">
        <v>13.194925768482991</v>
      </c>
      <c r="Q23">
        <v>43.70810536928532</v>
      </c>
      <c r="R23">
        <v>32.817095121108864</v>
      </c>
      <c r="S23" t="s">
        <v>29</v>
      </c>
      <c r="T23" t="s">
        <v>30</v>
      </c>
      <c r="U23">
        <v>170</v>
      </c>
      <c r="V23">
        <v>90</v>
      </c>
      <c r="W23" t="s">
        <v>31</v>
      </c>
      <c r="X23">
        <v>1024</v>
      </c>
      <c r="Y23">
        <v>1024</v>
      </c>
      <c r="Z23">
        <v>2400</v>
      </c>
      <c r="AA23">
        <v>22</v>
      </c>
      <c r="AB23" t="s">
        <v>53</v>
      </c>
      <c r="AC23">
        <v>47.160412311553962</v>
      </c>
    </row>
    <row r="24" spans="1:29" x14ac:dyDescent="0.3">
      <c r="A24">
        <v>3.041666666666667</v>
      </c>
      <c r="B24">
        <v>3.083333333333333</v>
      </c>
      <c r="C24">
        <v>4.083333333333333</v>
      </c>
      <c r="D24">
        <v>5.2083333333333339</v>
      </c>
      <c r="E24">
        <v>9.2916666666666661</v>
      </c>
      <c r="F24">
        <v>46.5</v>
      </c>
      <c r="G24">
        <v>13.625</v>
      </c>
      <c r="H24">
        <v>14.75</v>
      </c>
      <c r="I24">
        <v>0.41666666666666669</v>
      </c>
      <c r="J24">
        <v>0</v>
      </c>
      <c r="K24">
        <v>0</v>
      </c>
      <c r="L24">
        <v>-0.24059759698009039</v>
      </c>
      <c r="M24">
        <v>23.825758308266881</v>
      </c>
      <c r="N24">
        <v>29.55254440039349</v>
      </c>
      <c r="O24">
        <v>15.23575436353266</v>
      </c>
      <c r="P24">
        <v>17.009329488634041</v>
      </c>
      <c r="Q24">
        <v>39.061512671799541</v>
      </c>
      <c r="R24">
        <v>34.097949647891497</v>
      </c>
      <c r="S24" t="s">
        <v>29</v>
      </c>
      <c r="T24" t="s">
        <v>30</v>
      </c>
      <c r="U24">
        <v>170</v>
      </c>
      <c r="V24">
        <v>90</v>
      </c>
      <c r="W24" t="s">
        <v>31</v>
      </c>
      <c r="X24">
        <v>1024</v>
      </c>
      <c r="Y24">
        <v>1024</v>
      </c>
      <c r="Z24">
        <v>2400</v>
      </c>
      <c r="AA24">
        <v>23</v>
      </c>
      <c r="AB24" t="s">
        <v>54</v>
      </c>
      <c r="AC24">
        <v>47.056674003601067</v>
      </c>
    </row>
    <row r="25" spans="1:29" x14ac:dyDescent="0.3">
      <c r="A25">
        <v>8.2083333333333321</v>
      </c>
      <c r="B25">
        <v>5.458333333333333</v>
      </c>
      <c r="C25">
        <v>5.3333333333333339</v>
      </c>
      <c r="D25">
        <v>4.1666666666666661</v>
      </c>
      <c r="E25">
        <v>7.416666666666667</v>
      </c>
      <c r="F25">
        <v>35.75</v>
      </c>
      <c r="G25">
        <v>13.5</v>
      </c>
      <c r="H25">
        <v>17.25</v>
      </c>
      <c r="I25">
        <v>2.916666666666667</v>
      </c>
      <c r="J25">
        <v>0</v>
      </c>
      <c r="K25">
        <v>0</v>
      </c>
      <c r="L25">
        <v>-1</v>
      </c>
      <c r="M25">
        <v>40.919464353220881</v>
      </c>
      <c r="N25">
        <v>37.515232631415103</v>
      </c>
      <c r="O25">
        <v>18.674684357079869</v>
      </c>
      <c r="P25">
        <v>18.384443806245841</v>
      </c>
      <c r="Q25">
        <v>59.594148710300757</v>
      </c>
      <c r="R25">
        <v>41.777750698837337</v>
      </c>
      <c r="S25" t="s">
        <v>29</v>
      </c>
      <c r="T25" t="s">
        <v>30</v>
      </c>
      <c r="U25">
        <v>170</v>
      </c>
      <c r="V25">
        <v>90</v>
      </c>
      <c r="W25" t="s">
        <v>31</v>
      </c>
      <c r="X25">
        <v>1024</v>
      </c>
      <c r="Y25">
        <v>1024</v>
      </c>
      <c r="Z25">
        <v>2400</v>
      </c>
      <c r="AA25">
        <v>24</v>
      </c>
      <c r="AB25" t="s">
        <v>55</v>
      </c>
      <c r="AC25">
        <v>47.327990770339973</v>
      </c>
    </row>
    <row r="26" spans="1:29" x14ac:dyDescent="0.3">
      <c r="A26">
        <v>11.04166666666667</v>
      </c>
      <c r="B26">
        <v>5.541666666666667</v>
      </c>
      <c r="C26">
        <v>5.7916666666666661</v>
      </c>
      <c r="D26">
        <v>4.3333333333333339</v>
      </c>
      <c r="E26">
        <v>7.333333333333333</v>
      </c>
      <c r="F26">
        <v>32.458333333333343</v>
      </c>
      <c r="G26">
        <v>12.75</v>
      </c>
      <c r="H26">
        <v>19.375</v>
      </c>
      <c r="I26">
        <v>1.375</v>
      </c>
      <c r="J26">
        <v>0</v>
      </c>
      <c r="K26">
        <v>0</v>
      </c>
      <c r="L26">
        <v>-1</v>
      </c>
      <c r="M26">
        <v>40.955569297608513</v>
      </c>
      <c r="N26">
        <v>39.037071225485853</v>
      </c>
      <c r="O26">
        <v>20.283656120028301</v>
      </c>
      <c r="P26">
        <v>17.308790619184261</v>
      </c>
      <c r="Q26">
        <v>61.239225417636817</v>
      </c>
      <c r="R26">
        <v>42.7023086327006</v>
      </c>
      <c r="S26" t="s">
        <v>29</v>
      </c>
      <c r="T26" t="s">
        <v>30</v>
      </c>
      <c r="U26">
        <v>170</v>
      </c>
      <c r="V26">
        <v>90</v>
      </c>
      <c r="W26" t="s">
        <v>31</v>
      </c>
      <c r="X26">
        <v>1024</v>
      </c>
      <c r="Y26">
        <v>1024</v>
      </c>
      <c r="Z26">
        <v>2400</v>
      </c>
      <c r="AA26">
        <v>25</v>
      </c>
      <c r="AB26" t="s">
        <v>56</v>
      </c>
      <c r="AC26">
        <v>46.506748914718628</v>
      </c>
    </row>
    <row r="27" spans="1:29" x14ac:dyDescent="0.3">
      <c r="A27">
        <v>6.208333333333333</v>
      </c>
      <c r="B27">
        <v>4.625</v>
      </c>
      <c r="C27">
        <v>4.833333333333333</v>
      </c>
      <c r="D27">
        <v>5.0416666666666661</v>
      </c>
      <c r="E27">
        <v>10.875</v>
      </c>
      <c r="F27">
        <v>38.541666666666671</v>
      </c>
      <c r="G27">
        <v>17.375</v>
      </c>
      <c r="H27">
        <v>12.5</v>
      </c>
      <c r="I27">
        <v>0</v>
      </c>
      <c r="J27">
        <v>0</v>
      </c>
      <c r="K27">
        <v>0</v>
      </c>
      <c r="L27">
        <v>-1</v>
      </c>
      <c r="M27">
        <v>31.560044650548651</v>
      </c>
      <c r="N27">
        <v>34.353019883528518</v>
      </c>
      <c r="O27">
        <v>14.05449798756162</v>
      </c>
      <c r="P27">
        <v>13.0285744697384</v>
      </c>
      <c r="Q27">
        <v>45.614542638110279</v>
      </c>
      <c r="R27">
        <v>36.740627755002023</v>
      </c>
      <c r="S27" t="s">
        <v>29</v>
      </c>
      <c r="T27" t="s">
        <v>30</v>
      </c>
      <c r="U27">
        <v>170</v>
      </c>
      <c r="V27">
        <v>90</v>
      </c>
      <c r="W27" t="s">
        <v>31</v>
      </c>
      <c r="X27">
        <v>1024</v>
      </c>
      <c r="Y27">
        <v>1024</v>
      </c>
      <c r="Z27">
        <v>2400</v>
      </c>
      <c r="AA27">
        <v>26</v>
      </c>
      <c r="AB27" t="s">
        <v>57</v>
      </c>
      <c r="AC27">
        <v>43.369119882583618</v>
      </c>
    </row>
    <row r="28" spans="1:29" x14ac:dyDescent="0.3">
      <c r="A28">
        <v>11.04166666666667</v>
      </c>
      <c r="B28">
        <v>3.791666666666667</v>
      </c>
      <c r="C28">
        <v>5.916666666666667</v>
      </c>
      <c r="D28">
        <v>3.708333333333333</v>
      </c>
      <c r="E28">
        <v>6.208333333333333</v>
      </c>
      <c r="F28">
        <v>34.541666666666657</v>
      </c>
      <c r="G28">
        <v>23.083333333333329</v>
      </c>
      <c r="H28">
        <v>9.7083333333333321</v>
      </c>
      <c r="I28">
        <v>2</v>
      </c>
      <c r="J28">
        <v>0</v>
      </c>
      <c r="K28">
        <v>0</v>
      </c>
      <c r="L28">
        <v>-1</v>
      </c>
      <c r="M28">
        <v>42.789720515325527</v>
      </c>
      <c r="N28">
        <v>39.409404831652488</v>
      </c>
      <c r="O28">
        <v>15.499081461615081</v>
      </c>
      <c r="P28">
        <v>15.526906895792481</v>
      </c>
      <c r="Q28">
        <v>58.288801976940597</v>
      </c>
      <c r="R28">
        <v>42.357833123705497</v>
      </c>
      <c r="S28" t="s">
        <v>29</v>
      </c>
      <c r="T28" t="s">
        <v>30</v>
      </c>
      <c r="U28">
        <v>170</v>
      </c>
      <c r="V28">
        <v>90</v>
      </c>
      <c r="W28" t="s">
        <v>31</v>
      </c>
      <c r="X28">
        <v>1024</v>
      </c>
      <c r="Y28">
        <v>1024</v>
      </c>
      <c r="Z28">
        <v>2400</v>
      </c>
      <c r="AA28">
        <v>27</v>
      </c>
      <c r="AB28" t="s">
        <v>58</v>
      </c>
      <c r="AC28">
        <v>21.02527832984924</v>
      </c>
    </row>
    <row r="29" spans="1:29" x14ac:dyDescent="0.3">
      <c r="A29">
        <v>4.416666666666667</v>
      </c>
      <c r="B29">
        <v>3.083333333333333</v>
      </c>
      <c r="C29">
        <v>4.75</v>
      </c>
      <c r="D29">
        <v>7.333333333333333</v>
      </c>
      <c r="E29">
        <v>7.7916666666666661</v>
      </c>
      <c r="F29">
        <v>46.5</v>
      </c>
      <c r="G29">
        <v>14.08333333333333</v>
      </c>
      <c r="H29">
        <v>12.04166666666667</v>
      </c>
      <c r="I29">
        <v>0</v>
      </c>
      <c r="J29">
        <v>0</v>
      </c>
      <c r="K29">
        <v>0</v>
      </c>
      <c r="L29">
        <v>-1</v>
      </c>
      <c r="M29">
        <v>28.89760873954711</v>
      </c>
      <c r="N29">
        <v>31.81351381349738</v>
      </c>
      <c r="O29">
        <v>11.98116378708707</v>
      </c>
      <c r="P29">
        <v>13.67803562603115</v>
      </c>
      <c r="Q29">
        <v>40.878772526634179</v>
      </c>
      <c r="R29">
        <v>34.629298574307953</v>
      </c>
      <c r="S29" t="s">
        <v>29</v>
      </c>
      <c r="T29" t="s">
        <v>30</v>
      </c>
      <c r="U29">
        <v>170</v>
      </c>
      <c r="V29">
        <v>90</v>
      </c>
      <c r="W29" t="s">
        <v>31</v>
      </c>
      <c r="X29">
        <v>1024</v>
      </c>
      <c r="Y29">
        <v>1024</v>
      </c>
      <c r="Z29">
        <v>2400</v>
      </c>
      <c r="AA29">
        <v>28</v>
      </c>
      <c r="AB29" t="s">
        <v>59</v>
      </c>
      <c r="AC29">
        <v>20.76114916801453</v>
      </c>
    </row>
    <row r="30" spans="1:29" x14ac:dyDescent="0.3">
      <c r="A30">
        <v>5.6666666666666661</v>
      </c>
      <c r="B30">
        <v>5.375</v>
      </c>
      <c r="C30">
        <v>5.2083333333333339</v>
      </c>
      <c r="D30">
        <v>4.1666666666666661</v>
      </c>
      <c r="E30">
        <v>9.8333333333333321</v>
      </c>
      <c r="F30">
        <v>38.083333333333343</v>
      </c>
      <c r="G30">
        <v>12.29166666666667</v>
      </c>
      <c r="H30">
        <v>16.958333333333329</v>
      </c>
      <c r="I30">
        <v>2.416666666666667</v>
      </c>
      <c r="J30">
        <v>0</v>
      </c>
      <c r="K30">
        <v>0</v>
      </c>
      <c r="L30">
        <v>-1</v>
      </c>
      <c r="M30">
        <v>31.382372495318631</v>
      </c>
      <c r="N30">
        <v>34.390494593564483</v>
      </c>
      <c r="O30">
        <v>19.30750986555363</v>
      </c>
      <c r="P30">
        <v>18.38197454697557</v>
      </c>
      <c r="Q30">
        <v>50.689882360872247</v>
      </c>
      <c r="R30">
        <v>38.994911291547332</v>
      </c>
      <c r="S30" t="s">
        <v>29</v>
      </c>
      <c r="T30" t="s">
        <v>30</v>
      </c>
      <c r="U30">
        <v>170</v>
      </c>
      <c r="V30">
        <v>90</v>
      </c>
      <c r="W30" t="s">
        <v>31</v>
      </c>
      <c r="X30">
        <v>1024</v>
      </c>
      <c r="Y30">
        <v>1024</v>
      </c>
      <c r="Z30">
        <v>2400</v>
      </c>
      <c r="AA30">
        <v>29</v>
      </c>
      <c r="AB30" t="s">
        <v>60</v>
      </c>
      <c r="AC30">
        <v>20.6357421875</v>
      </c>
    </row>
    <row r="31" spans="1:29" x14ac:dyDescent="0.3">
      <c r="A31">
        <v>2.291666666666667</v>
      </c>
      <c r="B31">
        <v>4.125</v>
      </c>
      <c r="C31">
        <v>7.083333333333333</v>
      </c>
      <c r="D31">
        <v>4.083333333333333</v>
      </c>
      <c r="E31">
        <v>6.8750000000000009</v>
      </c>
      <c r="F31">
        <v>45.625</v>
      </c>
      <c r="G31">
        <v>11.66666666666667</v>
      </c>
      <c r="H31">
        <v>16.458333333333329</v>
      </c>
      <c r="I31">
        <v>1.791666666666667</v>
      </c>
      <c r="J31">
        <v>0</v>
      </c>
      <c r="K31">
        <v>0</v>
      </c>
      <c r="L31">
        <v>-1</v>
      </c>
      <c r="M31">
        <v>25.999141197954739</v>
      </c>
      <c r="N31">
        <v>29.007538236137108</v>
      </c>
      <c r="O31">
        <v>16.591765749679151</v>
      </c>
      <c r="P31">
        <v>17.625795604063601</v>
      </c>
      <c r="Q31">
        <v>42.590906947633883</v>
      </c>
      <c r="R31">
        <v>33.942686181225909</v>
      </c>
      <c r="S31" t="s">
        <v>29</v>
      </c>
      <c r="T31" t="s">
        <v>30</v>
      </c>
      <c r="U31">
        <v>170</v>
      </c>
      <c r="V31">
        <v>90</v>
      </c>
      <c r="W31" t="s">
        <v>31</v>
      </c>
      <c r="X31">
        <v>1024</v>
      </c>
      <c r="Y31">
        <v>1024</v>
      </c>
      <c r="Z31">
        <v>2400</v>
      </c>
      <c r="AA31">
        <v>30</v>
      </c>
      <c r="AB31" t="s">
        <v>61</v>
      </c>
      <c r="AC31">
        <v>20.565498352050781</v>
      </c>
    </row>
    <row r="32" spans="1:29" x14ac:dyDescent="0.3">
      <c r="A32">
        <v>5.2083333333333339</v>
      </c>
      <c r="B32">
        <v>5.541666666666667</v>
      </c>
      <c r="C32">
        <v>5.416666666666667</v>
      </c>
      <c r="D32">
        <v>5.375</v>
      </c>
      <c r="E32">
        <v>8.25</v>
      </c>
      <c r="F32">
        <v>41.791666666666657</v>
      </c>
      <c r="G32">
        <v>10.70833333333333</v>
      </c>
      <c r="H32">
        <v>14.54166666666667</v>
      </c>
      <c r="I32">
        <v>1.958333333333333</v>
      </c>
      <c r="J32">
        <v>1.208333333333333</v>
      </c>
      <c r="K32">
        <v>0</v>
      </c>
      <c r="L32">
        <v>-1</v>
      </c>
      <c r="M32">
        <v>31.03142571627545</v>
      </c>
      <c r="N32">
        <v>33.901173054683191</v>
      </c>
      <c r="O32">
        <v>17.803718848410881</v>
      </c>
      <c r="P32">
        <v>19.598021847674609</v>
      </c>
      <c r="Q32">
        <v>48.835144564686317</v>
      </c>
      <c r="R32">
        <v>39.158294074506223</v>
      </c>
      <c r="S32" t="s">
        <v>29</v>
      </c>
      <c r="T32" t="s">
        <v>30</v>
      </c>
      <c r="U32">
        <v>170</v>
      </c>
      <c r="V32">
        <v>90</v>
      </c>
      <c r="W32" t="s">
        <v>31</v>
      </c>
      <c r="X32">
        <v>1024</v>
      </c>
      <c r="Y32">
        <v>1024</v>
      </c>
      <c r="Z32">
        <v>2400</v>
      </c>
      <c r="AA32">
        <v>31</v>
      </c>
      <c r="AB32" t="s">
        <v>62</v>
      </c>
      <c r="AC32">
        <v>20.472315311431881</v>
      </c>
    </row>
    <row r="33" spans="1:29" x14ac:dyDescent="0.3">
      <c r="A33">
        <v>3</v>
      </c>
      <c r="B33">
        <v>3.083333333333333</v>
      </c>
      <c r="C33">
        <v>4.75</v>
      </c>
      <c r="D33">
        <v>3.666666666666667</v>
      </c>
      <c r="E33">
        <v>11.83333333333333</v>
      </c>
      <c r="F33">
        <v>47.208333333333343</v>
      </c>
      <c r="G33">
        <v>12</v>
      </c>
      <c r="H33">
        <v>12</v>
      </c>
      <c r="I33">
        <v>2.458333333333333</v>
      </c>
      <c r="J33">
        <v>0</v>
      </c>
      <c r="K33">
        <v>0</v>
      </c>
      <c r="L33">
        <v>0.2641563118359711</v>
      </c>
      <c r="M33">
        <v>24.509214549303589</v>
      </c>
      <c r="N33">
        <v>29.391049280251728</v>
      </c>
      <c r="O33">
        <v>14.973946731248541</v>
      </c>
      <c r="P33">
        <v>17.697432573436089</v>
      </c>
      <c r="Q33">
        <v>39.483161280552117</v>
      </c>
      <c r="R33">
        <v>34.3079130447409</v>
      </c>
      <c r="S33" t="s">
        <v>29</v>
      </c>
      <c r="T33" t="s">
        <v>30</v>
      </c>
      <c r="U33">
        <v>170</v>
      </c>
      <c r="V33">
        <v>90</v>
      </c>
      <c r="W33" t="s">
        <v>31</v>
      </c>
      <c r="X33">
        <v>1024</v>
      </c>
      <c r="Y33">
        <v>1024</v>
      </c>
      <c r="Z33">
        <v>2400</v>
      </c>
      <c r="AA33">
        <v>32</v>
      </c>
      <c r="AB33" t="s">
        <v>63</v>
      </c>
      <c r="AC33">
        <v>20.6321074962616</v>
      </c>
    </row>
    <row r="34" spans="1:29" x14ac:dyDescent="0.3">
      <c r="A34">
        <v>6.25</v>
      </c>
      <c r="B34">
        <v>6.375</v>
      </c>
      <c r="C34">
        <v>5.541666666666667</v>
      </c>
      <c r="D34">
        <v>5.25</v>
      </c>
      <c r="E34">
        <v>7.9166666666666661</v>
      </c>
      <c r="F34">
        <v>36.583333333333343</v>
      </c>
      <c r="G34">
        <v>19.041666666666671</v>
      </c>
      <c r="H34">
        <v>13.04166666666667</v>
      </c>
      <c r="I34">
        <v>0</v>
      </c>
      <c r="J34">
        <v>0</v>
      </c>
      <c r="K34">
        <v>0</v>
      </c>
      <c r="L34">
        <v>-1</v>
      </c>
      <c r="M34">
        <v>37.318309252488547</v>
      </c>
      <c r="N34">
        <v>35.283036268992362</v>
      </c>
      <c r="O34">
        <v>14.03581324830002</v>
      </c>
      <c r="P34">
        <v>12.55628036314137</v>
      </c>
      <c r="Q34">
        <v>51.35412250078857</v>
      </c>
      <c r="R34">
        <v>37.450671888723697</v>
      </c>
      <c r="S34" t="s">
        <v>29</v>
      </c>
      <c r="T34" t="s">
        <v>30</v>
      </c>
      <c r="U34">
        <v>170</v>
      </c>
      <c r="V34">
        <v>90</v>
      </c>
      <c r="W34" t="s">
        <v>31</v>
      </c>
      <c r="X34">
        <v>1024</v>
      </c>
      <c r="Y34">
        <v>1024</v>
      </c>
      <c r="Z34">
        <v>2400</v>
      </c>
      <c r="AA34">
        <v>33</v>
      </c>
      <c r="AB34" t="s">
        <v>64</v>
      </c>
      <c r="AC34">
        <v>20.472181558609009</v>
      </c>
    </row>
    <row r="35" spans="1:29" x14ac:dyDescent="0.3">
      <c r="A35">
        <v>2.791666666666667</v>
      </c>
      <c r="B35">
        <v>3.166666666666667</v>
      </c>
      <c r="C35">
        <v>4.083333333333333</v>
      </c>
      <c r="D35">
        <v>4.75</v>
      </c>
      <c r="E35">
        <v>12.08333333333333</v>
      </c>
      <c r="F35">
        <v>47.25</v>
      </c>
      <c r="G35">
        <v>14.625</v>
      </c>
      <c r="H35">
        <v>11.25</v>
      </c>
      <c r="I35">
        <v>0</v>
      </c>
      <c r="J35">
        <v>0</v>
      </c>
      <c r="K35">
        <v>0</v>
      </c>
      <c r="L35">
        <v>-1</v>
      </c>
      <c r="M35">
        <v>21.877159130340331</v>
      </c>
      <c r="N35">
        <v>28.297529867984728</v>
      </c>
      <c r="O35">
        <v>13.299633680357561</v>
      </c>
      <c r="P35">
        <v>13.90772802393551</v>
      </c>
      <c r="Q35">
        <v>35.176792810697897</v>
      </c>
      <c r="R35">
        <v>31.530542263292091</v>
      </c>
      <c r="S35" t="s">
        <v>29</v>
      </c>
      <c r="T35" t="s">
        <v>30</v>
      </c>
      <c r="U35">
        <v>170</v>
      </c>
      <c r="V35">
        <v>90</v>
      </c>
      <c r="W35" t="s">
        <v>31</v>
      </c>
      <c r="X35">
        <v>1024</v>
      </c>
      <c r="Y35">
        <v>1024</v>
      </c>
      <c r="Z35">
        <v>2400</v>
      </c>
      <c r="AA35">
        <v>34</v>
      </c>
      <c r="AB35" t="s">
        <v>65</v>
      </c>
      <c r="AC35">
        <v>20.40993499755859</v>
      </c>
    </row>
    <row r="36" spans="1:29" x14ac:dyDescent="0.3">
      <c r="A36">
        <v>2.041666666666667</v>
      </c>
      <c r="B36">
        <v>2.125</v>
      </c>
      <c r="C36">
        <v>5.416666666666667</v>
      </c>
      <c r="D36">
        <v>7.4583333333333339</v>
      </c>
      <c r="E36">
        <v>11.41666666666667</v>
      </c>
      <c r="F36">
        <v>45.666666666666657</v>
      </c>
      <c r="G36">
        <v>14.79166666666667</v>
      </c>
      <c r="H36">
        <v>8.5416666666666661</v>
      </c>
      <c r="I36">
        <v>2.541666666666667</v>
      </c>
      <c r="J36">
        <v>0</v>
      </c>
      <c r="K36">
        <v>0</v>
      </c>
      <c r="L36">
        <v>-1</v>
      </c>
      <c r="M36">
        <v>20.38478172158602</v>
      </c>
      <c r="N36">
        <v>24.710513469626939</v>
      </c>
      <c r="O36">
        <v>14.333845322222009</v>
      </c>
      <c r="P36">
        <v>16.594630268610679</v>
      </c>
      <c r="Q36">
        <v>34.718627043808041</v>
      </c>
      <c r="R36">
        <v>29.765604809654121</v>
      </c>
      <c r="S36" t="s">
        <v>29</v>
      </c>
      <c r="T36" t="s">
        <v>30</v>
      </c>
      <c r="U36">
        <v>170</v>
      </c>
      <c r="V36">
        <v>90</v>
      </c>
      <c r="W36" t="s">
        <v>31</v>
      </c>
      <c r="X36">
        <v>1024</v>
      </c>
      <c r="Y36">
        <v>1024</v>
      </c>
      <c r="Z36">
        <v>2400</v>
      </c>
      <c r="AA36">
        <v>35</v>
      </c>
      <c r="AB36" t="s">
        <v>66</v>
      </c>
      <c r="AC36">
        <v>20.159772157669071</v>
      </c>
    </row>
    <row r="37" spans="1:29" x14ac:dyDescent="0.3">
      <c r="A37">
        <v>6.041666666666667</v>
      </c>
      <c r="B37">
        <v>6.041666666666667</v>
      </c>
      <c r="C37">
        <v>4.9166666666666661</v>
      </c>
      <c r="D37">
        <v>5.2083333333333339</v>
      </c>
      <c r="E37">
        <v>9.3333333333333339</v>
      </c>
      <c r="F37">
        <v>39.208333333333343</v>
      </c>
      <c r="G37">
        <v>14.04166666666667</v>
      </c>
      <c r="H37">
        <v>12.95833333333333</v>
      </c>
      <c r="I37">
        <v>2.083333333333333</v>
      </c>
      <c r="J37">
        <v>0.16666666666666671</v>
      </c>
      <c r="K37">
        <v>0</v>
      </c>
      <c r="L37">
        <v>-1</v>
      </c>
      <c r="M37">
        <v>34.253886516633308</v>
      </c>
      <c r="N37">
        <v>35.143583264972982</v>
      </c>
      <c r="O37">
        <v>16.145007362080321</v>
      </c>
      <c r="P37">
        <v>17.145740198740441</v>
      </c>
      <c r="Q37">
        <v>50.398893878713643</v>
      </c>
      <c r="R37">
        <v>39.1030414630984</v>
      </c>
      <c r="S37" t="s">
        <v>29</v>
      </c>
      <c r="T37" t="s">
        <v>30</v>
      </c>
      <c r="U37">
        <v>170</v>
      </c>
      <c r="V37">
        <v>90</v>
      </c>
      <c r="W37" t="s">
        <v>31</v>
      </c>
      <c r="X37">
        <v>1024</v>
      </c>
      <c r="Y37">
        <v>1024</v>
      </c>
      <c r="Z37">
        <v>2400</v>
      </c>
      <c r="AA37">
        <v>36</v>
      </c>
      <c r="AB37" t="s">
        <v>67</v>
      </c>
      <c r="AC37">
        <v>20.43840050697327</v>
      </c>
    </row>
    <row r="38" spans="1:29" x14ac:dyDescent="0.3">
      <c r="A38">
        <v>6.3333333333333339</v>
      </c>
      <c r="B38">
        <v>4.4583333333333339</v>
      </c>
      <c r="C38">
        <v>4.25</v>
      </c>
      <c r="D38">
        <v>5</v>
      </c>
      <c r="E38">
        <v>8.125</v>
      </c>
      <c r="F38">
        <v>43.25</v>
      </c>
      <c r="G38">
        <v>14.66666666666667</v>
      </c>
      <c r="H38">
        <v>11.79166666666667</v>
      </c>
      <c r="I38">
        <v>2.125</v>
      </c>
      <c r="J38">
        <v>0</v>
      </c>
      <c r="K38">
        <v>0</v>
      </c>
      <c r="L38">
        <v>0.88231634609829368</v>
      </c>
      <c r="M38">
        <v>31.92203852943636</v>
      </c>
      <c r="N38">
        <v>35.279497690184812</v>
      </c>
      <c r="O38">
        <v>15.56234697794954</v>
      </c>
      <c r="P38">
        <v>17.09025503535732</v>
      </c>
      <c r="Q38">
        <v>47.484385507385902</v>
      </c>
      <c r="R38">
        <v>39.201017517984297</v>
      </c>
      <c r="S38" t="s">
        <v>29</v>
      </c>
      <c r="T38" t="s">
        <v>30</v>
      </c>
      <c r="U38">
        <v>170</v>
      </c>
      <c r="V38">
        <v>90</v>
      </c>
      <c r="W38" t="s">
        <v>31</v>
      </c>
      <c r="X38">
        <v>1024</v>
      </c>
      <c r="Y38">
        <v>1024</v>
      </c>
      <c r="Z38">
        <v>2400</v>
      </c>
      <c r="AA38">
        <v>37</v>
      </c>
      <c r="AB38" t="s">
        <v>68</v>
      </c>
      <c r="AC38">
        <v>20.622966766357418</v>
      </c>
    </row>
    <row r="39" spans="1:29" x14ac:dyDescent="0.3">
      <c r="A39">
        <v>6.166666666666667</v>
      </c>
      <c r="B39">
        <v>2.916666666666667</v>
      </c>
      <c r="C39">
        <v>4.708333333333333</v>
      </c>
      <c r="D39">
        <v>4.25</v>
      </c>
      <c r="E39">
        <v>12.29166666666667</v>
      </c>
      <c r="F39">
        <v>44.291666666666671</v>
      </c>
      <c r="G39">
        <v>13.5</v>
      </c>
      <c r="H39">
        <v>9.9166666666666661</v>
      </c>
      <c r="I39">
        <v>1.958333333333333</v>
      </c>
      <c r="J39">
        <v>0</v>
      </c>
      <c r="K39">
        <v>0</v>
      </c>
      <c r="L39">
        <v>-1</v>
      </c>
      <c r="M39">
        <v>28.620920166101481</v>
      </c>
      <c r="N39">
        <v>33.619901277025782</v>
      </c>
      <c r="O39">
        <v>14.40420575802818</v>
      </c>
      <c r="P39">
        <v>17.412710908213949</v>
      </c>
      <c r="Q39">
        <v>43.025125924129647</v>
      </c>
      <c r="R39">
        <v>37.861593509122052</v>
      </c>
      <c r="S39" t="s">
        <v>29</v>
      </c>
      <c r="T39" t="s">
        <v>30</v>
      </c>
      <c r="U39">
        <v>170</v>
      </c>
      <c r="V39">
        <v>90</v>
      </c>
      <c r="W39" t="s">
        <v>31</v>
      </c>
      <c r="X39">
        <v>1024</v>
      </c>
      <c r="Y39">
        <v>1024</v>
      </c>
      <c r="Z39">
        <v>2400</v>
      </c>
      <c r="AA39">
        <v>38</v>
      </c>
      <c r="AB39" t="s">
        <v>69</v>
      </c>
      <c r="AC39">
        <v>20.43559813499451</v>
      </c>
    </row>
    <row r="40" spans="1:29" x14ac:dyDescent="0.3">
      <c r="A40">
        <v>7.9583333333333339</v>
      </c>
      <c r="B40">
        <v>5.6666666666666661</v>
      </c>
      <c r="C40">
        <v>6.041666666666667</v>
      </c>
      <c r="D40">
        <v>5.083333333333333</v>
      </c>
      <c r="E40">
        <v>6.916666666666667</v>
      </c>
      <c r="F40">
        <v>41.5</v>
      </c>
      <c r="G40">
        <v>16.041666666666671</v>
      </c>
      <c r="H40">
        <v>9.2916666666666661</v>
      </c>
      <c r="I40">
        <v>1.5</v>
      </c>
      <c r="J40">
        <v>0</v>
      </c>
      <c r="K40">
        <v>0</v>
      </c>
      <c r="L40">
        <v>-1</v>
      </c>
      <c r="M40">
        <v>38.921822341964472</v>
      </c>
      <c r="N40">
        <v>36.917850745981532</v>
      </c>
      <c r="O40">
        <v>13.100015763194371</v>
      </c>
      <c r="P40">
        <v>15.12599720350002</v>
      </c>
      <c r="Q40">
        <v>52.021838105158842</v>
      </c>
      <c r="R40">
        <v>39.89640955152305</v>
      </c>
      <c r="S40" t="s">
        <v>29</v>
      </c>
      <c r="T40" t="s">
        <v>30</v>
      </c>
      <c r="U40">
        <v>170</v>
      </c>
      <c r="V40">
        <v>90</v>
      </c>
      <c r="W40" t="s">
        <v>31</v>
      </c>
      <c r="X40">
        <v>1024</v>
      </c>
      <c r="Y40">
        <v>1024</v>
      </c>
      <c r="Z40">
        <v>2400</v>
      </c>
      <c r="AA40">
        <v>39</v>
      </c>
      <c r="AB40" t="s">
        <v>70</v>
      </c>
      <c r="AC40">
        <v>20.437888145446781</v>
      </c>
    </row>
    <row r="41" spans="1:29" x14ac:dyDescent="0.3">
      <c r="A41">
        <v>3.458333333333333</v>
      </c>
      <c r="B41">
        <v>5.375</v>
      </c>
      <c r="C41">
        <v>7.375</v>
      </c>
      <c r="D41">
        <v>4.125</v>
      </c>
      <c r="E41">
        <v>7.416666666666667</v>
      </c>
      <c r="F41">
        <v>43.333333333333343</v>
      </c>
      <c r="G41">
        <v>16.958333333333329</v>
      </c>
      <c r="H41">
        <v>11.95833333333333</v>
      </c>
      <c r="I41">
        <v>0</v>
      </c>
      <c r="J41">
        <v>0</v>
      </c>
      <c r="K41">
        <v>0</v>
      </c>
      <c r="L41">
        <v>0.67664969242385264</v>
      </c>
      <c r="M41">
        <v>29.896566570308249</v>
      </c>
      <c r="N41">
        <v>31.879017811474711</v>
      </c>
      <c r="O41">
        <v>13.178445062667249</v>
      </c>
      <c r="P41">
        <v>13.63168986980509</v>
      </c>
      <c r="Q41">
        <v>43.075011632975503</v>
      </c>
      <c r="R41">
        <v>34.671238012665043</v>
      </c>
      <c r="S41" t="s">
        <v>29</v>
      </c>
      <c r="T41" t="s">
        <v>30</v>
      </c>
      <c r="U41">
        <v>170</v>
      </c>
      <c r="V41">
        <v>90</v>
      </c>
      <c r="W41" t="s">
        <v>31</v>
      </c>
      <c r="X41">
        <v>1024</v>
      </c>
      <c r="Y41">
        <v>1024</v>
      </c>
      <c r="Z41">
        <v>2400</v>
      </c>
      <c r="AA41">
        <v>40</v>
      </c>
      <c r="AB41" t="s">
        <v>71</v>
      </c>
      <c r="AC41">
        <v>20.48357462882996</v>
      </c>
    </row>
    <row r="42" spans="1:29" x14ac:dyDescent="0.3">
      <c r="A42">
        <v>5.916666666666667</v>
      </c>
      <c r="B42">
        <v>4.1666666666666661</v>
      </c>
      <c r="C42">
        <v>5.2083333333333339</v>
      </c>
      <c r="D42">
        <v>8.0416666666666661</v>
      </c>
      <c r="E42">
        <v>8.9166666666666679</v>
      </c>
      <c r="F42">
        <v>40.958333333333343</v>
      </c>
      <c r="G42">
        <v>13.08333333333333</v>
      </c>
      <c r="H42">
        <v>13.70833333333333</v>
      </c>
      <c r="I42">
        <v>0</v>
      </c>
      <c r="J42">
        <v>0</v>
      </c>
      <c r="K42">
        <v>0</v>
      </c>
      <c r="L42">
        <v>0.33800689381685178</v>
      </c>
      <c r="M42">
        <v>33.565839410498462</v>
      </c>
      <c r="N42">
        <v>33.802749286276118</v>
      </c>
      <c r="O42">
        <v>13.576100363838311</v>
      </c>
      <c r="P42">
        <v>13.805318708199399</v>
      </c>
      <c r="Q42">
        <v>47.14193977433677</v>
      </c>
      <c r="R42">
        <v>36.513185069859361</v>
      </c>
      <c r="S42" t="s">
        <v>29</v>
      </c>
      <c r="T42" t="s">
        <v>30</v>
      </c>
      <c r="U42">
        <v>170</v>
      </c>
      <c r="V42">
        <v>90</v>
      </c>
      <c r="W42" t="s">
        <v>31</v>
      </c>
      <c r="X42">
        <v>1024</v>
      </c>
      <c r="Y42">
        <v>1024</v>
      </c>
      <c r="Z42">
        <v>2400</v>
      </c>
      <c r="AA42">
        <v>41</v>
      </c>
      <c r="AB42" t="s">
        <v>72</v>
      </c>
      <c r="AC42">
        <v>20.244419813156131</v>
      </c>
    </row>
    <row r="43" spans="1:29" x14ac:dyDescent="0.3">
      <c r="A43">
        <v>11.54166666666667</v>
      </c>
      <c r="B43">
        <v>5.625</v>
      </c>
      <c r="C43">
        <v>6</v>
      </c>
      <c r="D43">
        <v>5.3333333333333339</v>
      </c>
      <c r="E43">
        <v>8.125</v>
      </c>
      <c r="F43">
        <v>30.333333333333339</v>
      </c>
      <c r="G43">
        <v>16.75</v>
      </c>
      <c r="H43">
        <v>16.25</v>
      </c>
      <c r="I43">
        <v>4.1666666666666671E-2</v>
      </c>
      <c r="J43">
        <v>0</v>
      </c>
      <c r="K43">
        <v>0</v>
      </c>
      <c r="L43">
        <v>-1</v>
      </c>
      <c r="M43">
        <v>43.910823660615137</v>
      </c>
      <c r="N43">
        <v>38.226323542975663</v>
      </c>
      <c r="O43">
        <v>16.464008082391668</v>
      </c>
      <c r="P43">
        <v>13.83420115215714</v>
      </c>
      <c r="Q43">
        <v>60.374831743006808</v>
      </c>
      <c r="R43">
        <v>40.652637468319341</v>
      </c>
      <c r="S43" t="s">
        <v>29</v>
      </c>
      <c r="T43" t="s">
        <v>30</v>
      </c>
      <c r="U43">
        <v>170</v>
      </c>
      <c r="V43">
        <v>90</v>
      </c>
      <c r="W43" t="s">
        <v>31</v>
      </c>
      <c r="X43">
        <v>1024</v>
      </c>
      <c r="Y43">
        <v>1024</v>
      </c>
      <c r="Z43">
        <v>2400</v>
      </c>
      <c r="AA43">
        <v>42</v>
      </c>
      <c r="AB43" t="s">
        <v>73</v>
      </c>
      <c r="AC43">
        <v>20.147083759307861</v>
      </c>
    </row>
    <row r="44" spans="1:29" x14ac:dyDescent="0.3">
      <c r="A44">
        <v>5.583333333333333</v>
      </c>
      <c r="B44">
        <v>5.2083333333333339</v>
      </c>
      <c r="C44">
        <v>4</v>
      </c>
      <c r="D44">
        <v>3.666666666666667</v>
      </c>
      <c r="E44">
        <v>10.54166666666667</v>
      </c>
      <c r="F44">
        <v>40.666666666666657</v>
      </c>
      <c r="G44">
        <v>13</v>
      </c>
      <c r="H44">
        <v>13.625</v>
      </c>
      <c r="I44">
        <v>3.708333333333333</v>
      </c>
      <c r="J44">
        <v>0</v>
      </c>
      <c r="K44">
        <v>0</v>
      </c>
      <c r="L44">
        <v>-0.68205371486214661</v>
      </c>
      <c r="M44">
        <v>31.227421217247159</v>
      </c>
      <c r="N44">
        <v>34.608844015888977</v>
      </c>
      <c r="O44">
        <v>18.050374150800842</v>
      </c>
      <c r="P44">
        <v>18.828984338909169</v>
      </c>
      <c r="Q44">
        <v>49.277795368047997</v>
      </c>
      <c r="R44">
        <v>39.399273284554639</v>
      </c>
      <c r="S44" t="s">
        <v>29</v>
      </c>
      <c r="T44" t="s">
        <v>30</v>
      </c>
      <c r="U44">
        <v>170</v>
      </c>
      <c r="V44">
        <v>90</v>
      </c>
      <c r="W44" t="s">
        <v>31</v>
      </c>
      <c r="X44">
        <v>1024</v>
      </c>
      <c r="Y44">
        <v>1024</v>
      </c>
      <c r="Z44">
        <v>2400</v>
      </c>
      <c r="AA44">
        <v>43</v>
      </c>
      <c r="AB44" t="s">
        <v>74</v>
      </c>
      <c r="AC44">
        <v>20.79808235168457</v>
      </c>
    </row>
    <row r="45" spans="1:29" x14ac:dyDescent="0.3">
      <c r="A45">
        <v>5.5</v>
      </c>
      <c r="B45">
        <v>4.9166666666666661</v>
      </c>
      <c r="C45">
        <v>4.958333333333333</v>
      </c>
      <c r="D45">
        <v>5.5</v>
      </c>
      <c r="E45">
        <v>10.16666666666667</v>
      </c>
      <c r="F45">
        <v>40.041666666666657</v>
      </c>
      <c r="G45">
        <v>14.20833333333333</v>
      </c>
      <c r="H45">
        <v>14</v>
      </c>
      <c r="I45">
        <v>0.70833333333333326</v>
      </c>
      <c r="J45">
        <v>0</v>
      </c>
      <c r="K45">
        <v>0</v>
      </c>
      <c r="L45">
        <v>0.96008530145234627</v>
      </c>
      <c r="M45">
        <v>31.989981537544178</v>
      </c>
      <c r="N45">
        <v>33.982107593084862</v>
      </c>
      <c r="O45">
        <v>15.70651312986222</v>
      </c>
      <c r="P45">
        <v>16.133111274905431</v>
      </c>
      <c r="Q45">
        <v>47.696494667406398</v>
      </c>
      <c r="R45">
        <v>37.617295435430712</v>
      </c>
      <c r="S45" t="s">
        <v>29</v>
      </c>
      <c r="T45" t="s">
        <v>30</v>
      </c>
      <c r="U45">
        <v>170</v>
      </c>
      <c r="V45">
        <v>90</v>
      </c>
      <c r="W45" t="s">
        <v>31</v>
      </c>
      <c r="X45">
        <v>1024</v>
      </c>
      <c r="Y45">
        <v>1024</v>
      </c>
      <c r="Z45">
        <v>2400</v>
      </c>
      <c r="AA45">
        <v>44</v>
      </c>
      <c r="AB45" t="s">
        <v>75</v>
      </c>
      <c r="AC45">
        <v>20.398460149765011</v>
      </c>
    </row>
    <row r="46" spans="1:29" x14ac:dyDescent="0.3">
      <c r="A46">
        <v>5.083333333333333</v>
      </c>
      <c r="B46">
        <v>3.916666666666667</v>
      </c>
      <c r="C46">
        <v>6.3333333333333339</v>
      </c>
      <c r="D46">
        <v>5.0416666666666661</v>
      </c>
      <c r="E46">
        <v>9.5</v>
      </c>
      <c r="F46">
        <v>37.083333333333343</v>
      </c>
      <c r="G46">
        <v>18.583333333333329</v>
      </c>
      <c r="H46">
        <v>13.625</v>
      </c>
      <c r="I46">
        <v>0.83333333333333337</v>
      </c>
      <c r="J46">
        <v>0</v>
      </c>
      <c r="K46">
        <v>0</v>
      </c>
      <c r="L46">
        <v>-0.15082957784351231</v>
      </c>
      <c r="M46">
        <v>31.63976651975414</v>
      </c>
      <c r="N46">
        <v>33.002549674846072</v>
      </c>
      <c r="O46">
        <v>16.03937416856358</v>
      </c>
      <c r="P46">
        <v>15.835724598368399</v>
      </c>
      <c r="Q46">
        <v>47.679140688317723</v>
      </c>
      <c r="R46">
        <v>36.605169834274122</v>
      </c>
      <c r="S46" t="s">
        <v>29</v>
      </c>
      <c r="T46" t="s">
        <v>30</v>
      </c>
      <c r="U46">
        <v>170</v>
      </c>
      <c r="V46">
        <v>90</v>
      </c>
      <c r="W46" t="s">
        <v>31</v>
      </c>
      <c r="X46">
        <v>1024</v>
      </c>
      <c r="Y46">
        <v>1024</v>
      </c>
      <c r="Z46">
        <v>2400</v>
      </c>
      <c r="AA46">
        <v>45</v>
      </c>
      <c r="AB46" t="s">
        <v>76</v>
      </c>
      <c r="AC46">
        <v>20.953096151351929</v>
      </c>
    </row>
    <row r="47" spans="1:29" x14ac:dyDescent="0.3">
      <c r="A47">
        <v>5.0416666666666661</v>
      </c>
      <c r="B47">
        <v>4.375</v>
      </c>
      <c r="C47">
        <v>4.583333333333333</v>
      </c>
      <c r="D47">
        <v>5.5</v>
      </c>
      <c r="E47">
        <v>9.3333333333333339</v>
      </c>
      <c r="F47">
        <v>41.041666666666657</v>
      </c>
      <c r="G47">
        <v>15.41666666666667</v>
      </c>
      <c r="H47">
        <v>13.45833333333333</v>
      </c>
      <c r="I47">
        <v>1.25</v>
      </c>
      <c r="J47">
        <v>0</v>
      </c>
      <c r="K47">
        <v>0</v>
      </c>
      <c r="L47">
        <v>0.39384774782030252</v>
      </c>
      <c r="M47">
        <v>29.50991314536714</v>
      </c>
      <c r="N47">
        <v>33.51890434582738</v>
      </c>
      <c r="O47">
        <v>15.28347355177231</v>
      </c>
      <c r="P47">
        <v>15.0489479795456</v>
      </c>
      <c r="Q47">
        <v>44.793386697139447</v>
      </c>
      <c r="R47">
        <v>36.742179900433172</v>
      </c>
      <c r="S47" t="s">
        <v>29</v>
      </c>
      <c r="T47" t="s">
        <v>30</v>
      </c>
      <c r="U47">
        <v>170</v>
      </c>
      <c r="V47">
        <v>90</v>
      </c>
      <c r="W47" t="s">
        <v>31</v>
      </c>
      <c r="X47">
        <v>1024</v>
      </c>
      <c r="Y47">
        <v>1024</v>
      </c>
      <c r="Z47">
        <v>2400</v>
      </c>
      <c r="AA47">
        <v>46</v>
      </c>
      <c r="AB47" t="s">
        <v>77</v>
      </c>
      <c r="AC47">
        <v>20.628691434860229</v>
      </c>
    </row>
    <row r="48" spans="1:29" x14ac:dyDescent="0.3">
      <c r="A48">
        <v>7.5</v>
      </c>
      <c r="B48">
        <v>6.583333333333333</v>
      </c>
      <c r="C48">
        <v>5.583333333333333</v>
      </c>
      <c r="D48">
        <v>4.75</v>
      </c>
      <c r="E48">
        <v>9.1666666666666661</v>
      </c>
      <c r="F48">
        <v>36.166666666666671</v>
      </c>
      <c r="G48">
        <v>19.5</v>
      </c>
      <c r="H48">
        <v>10.75</v>
      </c>
      <c r="I48">
        <v>0</v>
      </c>
      <c r="J48">
        <v>0</v>
      </c>
      <c r="K48">
        <v>0</v>
      </c>
      <c r="L48">
        <v>-1</v>
      </c>
      <c r="M48">
        <v>40.008563216912727</v>
      </c>
      <c r="N48">
        <v>36.3501414204257</v>
      </c>
      <c r="O48">
        <v>12.565406223532021</v>
      </c>
      <c r="P48">
        <v>11.068878745180911</v>
      </c>
      <c r="Q48">
        <v>52.573969440444749</v>
      </c>
      <c r="R48">
        <v>37.998063871208828</v>
      </c>
      <c r="S48" t="s">
        <v>29</v>
      </c>
      <c r="T48" t="s">
        <v>30</v>
      </c>
      <c r="U48">
        <v>170</v>
      </c>
      <c r="V48">
        <v>90</v>
      </c>
      <c r="W48" t="s">
        <v>31</v>
      </c>
      <c r="X48">
        <v>1024</v>
      </c>
      <c r="Y48">
        <v>1024</v>
      </c>
      <c r="Z48">
        <v>2400</v>
      </c>
      <c r="AA48">
        <v>47</v>
      </c>
      <c r="AB48" t="s">
        <v>78</v>
      </c>
      <c r="AC48">
        <v>20.47437143325806</v>
      </c>
    </row>
    <row r="49" spans="1:29" x14ac:dyDescent="0.3">
      <c r="A49">
        <v>1.541666666666667</v>
      </c>
      <c r="B49">
        <v>3.041666666666667</v>
      </c>
      <c r="C49">
        <v>4.375</v>
      </c>
      <c r="D49">
        <v>3.666666666666667</v>
      </c>
      <c r="E49">
        <v>11.375</v>
      </c>
      <c r="F49">
        <v>45.541666666666671</v>
      </c>
      <c r="G49">
        <v>17.666666666666671</v>
      </c>
      <c r="H49">
        <v>12.79166666666667</v>
      </c>
      <c r="I49">
        <v>0</v>
      </c>
      <c r="J49">
        <v>0</v>
      </c>
      <c r="K49">
        <v>0</v>
      </c>
      <c r="L49">
        <v>0.67983649055890005</v>
      </c>
      <c r="M49">
        <v>20.231721731369099</v>
      </c>
      <c r="N49">
        <v>25.540950832205031</v>
      </c>
      <c r="O49">
        <v>12.86693750161781</v>
      </c>
      <c r="P49">
        <v>12.62868951277083</v>
      </c>
      <c r="Q49">
        <v>33.098659232986897</v>
      </c>
      <c r="R49">
        <v>28.49252477796734</v>
      </c>
      <c r="S49" t="s">
        <v>29</v>
      </c>
      <c r="T49" t="s">
        <v>30</v>
      </c>
      <c r="U49">
        <v>170</v>
      </c>
      <c r="V49">
        <v>90</v>
      </c>
      <c r="W49" t="s">
        <v>31</v>
      </c>
      <c r="X49">
        <v>1024</v>
      </c>
      <c r="Y49">
        <v>1024</v>
      </c>
      <c r="Z49">
        <v>2400</v>
      </c>
      <c r="AA49">
        <v>48</v>
      </c>
      <c r="AB49" t="s">
        <v>79</v>
      </c>
      <c r="AC49">
        <v>20.648961782455441</v>
      </c>
    </row>
    <row r="50" spans="1:29" x14ac:dyDescent="0.3">
      <c r="A50">
        <v>7.291666666666667</v>
      </c>
      <c r="B50">
        <v>2.333333333333333</v>
      </c>
      <c r="C50">
        <v>4.291666666666667</v>
      </c>
      <c r="D50">
        <v>3.875</v>
      </c>
      <c r="E50">
        <v>8.5833333333333339</v>
      </c>
      <c r="F50">
        <v>48.208333333333329</v>
      </c>
      <c r="G50">
        <v>11.70833333333333</v>
      </c>
      <c r="H50">
        <v>10.41666666666667</v>
      </c>
      <c r="I50">
        <v>3.291666666666667</v>
      </c>
      <c r="J50">
        <v>0</v>
      </c>
      <c r="K50">
        <v>0</v>
      </c>
      <c r="L50">
        <v>-1</v>
      </c>
      <c r="M50">
        <v>27.79472515926366</v>
      </c>
      <c r="N50">
        <v>35.347548328013239</v>
      </c>
      <c r="O50">
        <v>15.623965563448991</v>
      </c>
      <c r="P50">
        <v>17.888749286754411</v>
      </c>
      <c r="Q50">
        <v>43.418690722712647</v>
      </c>
      <c r="R50">
        <v>39.616366868323347</v>
      </c>
      <c r="S50" t="s">
        <v>29</v>
      </c>
      <c r="T50" t="s">
        <v>30</v>
      </c>
      <c r="U50">
        <v>170</v>
      </c>
      <c r="V50">
        <v>90</v>
      </c>
      <c r="W50" t="s">
        <v>31</v>
      </c>
      <c r="X50">
        <v>1024</v>
      </c>
      <c r="Y50">
        <v>1024</v>
      </c>
      <c r="Z50">
        <v>2400</v>
      </c>
      <c r="AA50">
        <v>49</v>
      </c>
      <c r="AB50" t="s">
        <v>80</v>
      </c>
      <c r="AC50">
        <v>20.853175401687619</v>
      </c>
    </row>
    <row r="51" spans="1:29" x14ac:dyDescent="0.3">
      <c r="A51">
        <v>6.5416666666666661</v>
      </c>
      <c r="B51">
        <v>6.583333333333333</v>
      </c>
      <c r="C51">
        <v>5.5</v>
      </c>
      <c r="D51">
        <v>4.291666666666667</v>
      </c>
      <c r="E51">
        <v>8.3333333333333321</v>
      </c>
      <c r="F51">
        <v>35.916666666666671</v>
      </c>
      <c r="G51">
        <v>14.83333333333333</v>
      </c>
      <c r="H51">
        <v>18</v>
      </c>
      <c r="I51">
        <v>0</v>
      </c>
      <c r="J51">
        <v>0</v>
      </c>
      <c r="K51">
        <v>0</v>
      </c>
      <c r="L51">
        <v>-1</v>
      </c>
      <c r="M51">
        <v>35.737171336730498</v>
      </c>
      <c r="N51">
        <v>35.679811311867013</v>
      </c>
      <c r="O51">
        <v>16.685249317777501</v>
      </c>
      <c r="P51">
        <v>14.48475736002846</v>
      </c>
      <c r="Q51">
        <v>52.422420654508002</v>
      </c>
      <c r="R51">
        <v>38.507884011320748</v>
      </c>
      <c r="S51" t="s">
        <v>29</v>
      </c>
      <c r="T51" t="s">
        <v>30</v>
      </c>
      <c r="U51">
        <v>170</v>
      </c>
      <c r="V51">
        <v>90</v>
      </c>
      <c r="W51" t="s">
        <v>31</v>
      </c>
      <c r="X51">
        <v>1024</v>
      </c>
      <c r="Y51">
        <v>1024</v>
      </c>
      <c r="Z51">
        <v>2400</v>
      </c>
      <c r="AA51">
        <v>50</v>
      </c>
      <c r="AB51" t="s">
        <v>81</v>
      </c>
      <c r="AC51">
        <v>20.625576019287109</v>
      </c>
    </row>
    <row r="52" spans="1:29" x14ac:dyDescent="0.3">
      <c r="A52">
        <v>5</v>
      </c>
      <c r="B52">
        <v>2.875</v>
      </c>
      <c r="C52">
        <v>3.666666666666667</v>
      </c>
      <c r="D52">
        <v>3.791666666666667</v>
      </c>
      <c r="E52">
        <v>12.70833333333333</v>
      </c>
      <c r="F52">
        <v>37.25</v>
      </c>
      <c r="G52">
        <v>12.41666666666667</v>
      </c>
      <c r="H52">
        <v>16.5</v>
      </c>
      <c r="I52">
        <v>3.166666666666667</v>
      </c>
      <c r="J52">
        <v>2.625</v>
      </c>
      <c r="K52">
        <v>0</v>
      </c>
      <c r="L52">
        <v>-1</v>
      </c>
      <c r="M52">
        <v>28.1080993304946</v>
      </c>
      <c r="N52">
        <v>32.830306036049841</v>
      </c>
      <c r="O52">
        <v>22.956016717362111</v>
      </c>
      <c r="P52">
        <v>24.02561624513438</v>
      </c>
      <c r="Q52">
        <v>51.064116047856707</v>
      </c>
      <c r="R52">
        <v>40.682419180515261</v>
      </c>
      <c r="S52" t="s">
        <v>29</v>
      </c>
      <c r="T52" t="s">
        <v>30</v>
      </c>
      <c r="U52">
        <v>170</v>
      </c>
      <c r="V52">
        <v>90</v>
      </c>
      <c r="W52" t="s">
        <v>31</v>
      </c>
      <c r="X52">
        <v>1024</v>
      </c>
      <c r="Y52">
        <v>1024</v>
      </c>
      <c r="Z52">
        <v>2400</v>
      </c>
      <c r="AA52">
        <v>51</v>
      </c>
      <c r="AB52" t="s">
        <v>82</v>
      </c>
      <c r="AC52">
        <v>20.371280908584591</v>
      </c>
    </row>
    <row r="53" spans="1:29" x14ac:dyDescent="0.3">
      <c r="A53">
        <v>5.375</v>
      </c>
      <c r="B53">
        <v>5.875</v>
      </c>
      <c r="C53">
        <v>6.125</v>
      </c>
      <c r="D53">
        <v>4.9166666666666661</v>
      </c>
      <c r="E53">
        <v>8</v>
      </c>
      <c r="F53">
        <v>37.291666666666657</v>
      </c>
      <c r="G53">
        <v>16.25</v>
      </c>
      <c r="H53">
        <v>14.20833333333333</v>
      </c>
      <c r="I53">
        <v>1.958333333333333</v>
      </c>
      <c r="J53">
        <v>0</v>
      </c>
      <c r="K53">
        <v>0</v>
      </c>
      <c r="L53">
        <v>-1</v>
      </c>
      <c r="M53">
        <v>35.055559126738792</v>
      </c>
      <c r="N53">
        <v>34.364242535406852</v>
      </c>
      <c r="O53">
        <v>16.80591249378374</v>
      </c>
      <c r="P53">
        <v>17.94919988884061</v>
      </c>
      <c r="Q53">
        <v>51.861471620522543</v>
      </c>
      <c r="R53">
        <v>38.769510464820428</v>
      </c>
      <c r="S53" t="s">
        <v>29</v>
      </c>
      <c r="T53" t="s">
        <v>30</v>
      </c>
      <c r="U53">
        <v>170</v>
      </c>
      <c r="V53">
        <v>90</v>
      </c>
      <c r="W53" t="s">
        <v>31</v>
      </c>
      <c r="X53">
        <v>1024</v>
      </c>
      <c r="Y53">
        <v>1024</v>
      </c>
      <c r="Z53">
        <v>2400</v>
      </c>
      <c r="AA53">
        <v>52</v>
      </c>
      <c r="AB53" t="s">
        <v>83</v>
      </c>
      <c r="AC53">
        <v>20.537851333618161</v>
      </c>
    </row>
    <row r="54" spans="1:29" x14ac:dyDescent="0.3">
      <c r="A54">
        <v>6.166666666666667</v>
      </c>
      <c r="B54">
        <v>4.375</v>
      </c>
      <c r="C54">
        <v>5.625</v>
      </c>
      <c r="D54">
        <v>6.25</v>
      </c>
      <c r="E54">
        <v>8.3333333333333321</v>
      </c>
      <c r="F54">
        <v>35.083333333333343</v>
      </c>
      <c r="G54">
        <v>15.91666666666667</v>
      </c>
      <c r="H54">
        <v>17.458333333333339</v>
      </c>
      <c r="I54">
        <v>0.79166666666666674</v>
      </c>
      <c r="J54">
        <v>0</v>
      </c>
      <c r="K54">
        <v>0</v>
      </c>
      <c r="L54">
        <v>-0.7740162533945778</v>
      </c>
      <c r="M54">
        <v>33.73133985484688</v>
      </c>
      <c r="N54">
        <v>34.536990334638077</v>
      </c>
      <c r="O54">
        <v>17.54989050483254</v>
      </c>
      <c r="P54">
        <v>15.379288710895191</v>
      </c>
      <c r="Q54">
        <v>51.281230359679412</v>
      </c>
      <c r="R54">
        <v>37.806430969187673</v>
      </c>
      <c r="S54" t="s">
        <v>29</v>
      </c>
      <c r="T54" t="s">
        <v>30</v>
      </c>
      <c r="U54">
        <v>170</v>
      </c>
      <c r="V54">
        <v>90</v>
      </c>
      <c r="W54" t="s">
        <v>31</v>
      </c>
      <c r="X54">
        <v>1024</v>
      </c>
      <c r="Y54">
        <v>1024</v>
      </c>
      <c r="Z54">
        <v>2400</v>
      </c>
      <c r="AA54">
        <v>53</v>
      </c>
      <c r="AB54" t="s">
        <v>84</v>
      </c>
      <c r="AC54">
        <v>20.39446926116943</v>
      </c>
    </row>
    <row r="55" spans="1:29" x14ac:dyDescent="0.3">
      <c r="A55">
        <v>6.958333333333333</v>
      </c>
      <c r="B55">
        <v>5.875</v>
      </c>
      <c r="C55">
        <v>4.541666666666667</v>
      </c>
      <c r="D55">
        <v>5.25</v>
      </c>
      <c r="E55">
        <v>9.3333333333333339</v>
      </c>
      <c r="F55">
        <v>39.708333333333343</v>
      </c>
      <c r="G55">
        <v>18.333333333333329</v>
      </c>
      <c r="H55">
        <v>10</v>
      </c>
      <c r="I55">
        <v>0</v>
      </c>
      <c r="J55">
        <v>0</v>
      </c>
      <c r="K55">
        <v>0</v>
      </c>
      <c r="L55">
        <v>0.99999572396800152</v>
      </c>
      <c r="M55">
        <v>35.827050831074949</v>
      </c>
      <c r="N55">
        <v>36.001829147231419</v>
      </c>
      <c r="O55">
        <v>11.91943012669155</v>
      </c>
      <c r="P55">
        <v>11.29971036937134</v>
      </c>
      <c r="Q55">
        <v>47.746480957766501</v>
      </c>
      <c r="R55">
        <v>37.733475275650399</v>
      </c>
      <c r="S55" t="s">
        <v>29</v>
      </c>
      <c r="T55" t="s">
        <v>30</v>
      </c>
      <c r="U55">
        <v>170</v>
      </c>
      <c r="V55">
        <v>90</v>
      </c>
      <c r="W55" t="s">
        <v>31</v>
      </c>
      <c r="X55">
        <v>1024</v>
      </c>
      <c r="Y55">
        <v>1024</v>
      </c>
      <c r="Z55">
        <v>2400</v>
      </c>
      <c r="AA55">
        <v>54</v>
      </c>
      <c r="AB55" t="s">
        <v>85</v>
      </c>
      <c r="AC55">
        <v>20.235832214355469</v>
      </c>
    </row>
    <row r="56" spans="1:29" x14ac:dyDescent="0.3">
      <c r="A56">
        <v>4.1666666666666661</v>
      </c>
      <c r="B56">
        <v>4.9166666666666661</v>
      </c>
      <c r="C56">
        <v>4.4583333333333339</v>
      </c>
      <c r="D56">
        <v>5.625</v>
      </c>
      <c r="E56">
        <v>10.29166666666667</v>
      </c>
      <c r="F56">
        <v>37.416666666666657</v>
      </c>
      <c r="G56">
        <v>15.66666666666667</v>
      </c>
      <c r="H56">
        <v>15.70833333333333</v>
      </c>
      <c r="I56">
        <v>1.75</v>
      </c>
      <c r="J56">
        <v>0</v>
      </c>
      <c r="K56">
        <v>0</v>
      </c>
      <c r="L56">
        <v>-1</v>
      </c>
      <c r="M56">
        <v>30.95324990012255</v>
      </c>
      <c r="N56">
        <v>32.354390874471022</v>
      </c>
      <c r="O56">
        <v>17.096689199180389</v>
      </c>
      <c r="P56">
        <v>17.05423309357764</v>
      </c>
      <c r="Q56">
        <v>48.049939099302939</v>
      </c>
      <c r="R56">
        <v>36.573945306298747</v>
      </c>
      <c r="S56" t="s">
        <v>29</v>
      </c>
      <c r="T56" t="s">
        <v>30</v>
      </c>
      <c r="U56">
        <v>170</v>
      </c>
      <c r="V56">
        <v>90</v>
      </c>
      <c r="W56" t="s">
        <v>31</v>
      </c>
      <c r="X56">
        <v>1024</v>
      </c>
      <c r="Y56">
        <v>1024</v>
      </c>
      <c r="Z56">
        <v>2400</v>
      </c>
      <c r="AA56">
        <v>55</v>
      </c>
      <c r="AB56" t="s">
        <v>86</v>
      </c>
      <c r="AC56">
        <v>20.58704042434692</v>
      </c>
    </row>
    <row r="57" spans="1:29" x14ac:dyDescent="0.3">
      <c r="A57">
        <v>7.333333333333333</v>
      </c>
      <c r="B57">
        <v>4.9166666666666661</v>
      </c>
      <c r="C57">
        <v>5.3333333333333339</v>
      </c>
      <c r="D57">
        <v>4.125</v>
      </c>
      <c r="E57">
        <v>8.125</v>
      </c>
      <c r="F57">
        <v>39.041666666666671</v>
      </c>
      <c r="G57">
        <v>15.75</v>
      </c>
      <c r="H57">
        <v>15.25</v>
      </c>
      <c r="I57">
        <v>0.125</v>
      </c>
      <c r="J57">
        <v>0</v>
      </c>
      <c r="K57">
        <v>0</v>
      </c>
      <c r="L57">
        <v>-1</v>
      </c>
      <c r="M57">
        <v>35.266823938883121</v>
      </c>
      <c r="N57">
        <v>36.426491947196801</v>
      </c>
      <c r="O57">
        <v>15.46190032147422</v>
      </c>
      <c r="P57">
        <v>14.92362033052536</v>
      </c>
      <c r="Q57">
        <v>50.728724260357353</v>
      </c>
      <c r="R57">
        <v>39.365006787105507</v>
      </c>
      <c r="S57" t="s">
        <v>29</v>
      </c>
      <c r="T57" t="s">
        <v>30</v>
      </c>
      <c r="U57">
        <v>170</v>
      </c>
      <c r="V57">
        <v>90</v>
      </c>
      <c r="W57" t="s">
        <v>31</v>
      </c>
      <c r="X57">
        <v>1024</v>
      </c>
      <c r="Y57">
        <v>1024</v>
      </c>
      <c r="Z57">
        <v>2400</v>
      </c>
      <c r="AA57">
        <v>56</v>
      </c>
      <c r="AB57" t="s">
        <v>87</v>
      </c>
      <c r="AC57">
        <v>20.41160869598389</v>
      </c>
    </row>
    <row r="58" spans="1:29" x14ac:dyDescent="0.3">
      <c r="A58">
        <v>8.125</v>
      </c>
      <c r="B58">
        <v>3.916666666666667</v>
      </c>
      <c r="C58">
        <v>4.1666666666666661</v>
      </c>
      <c r="D58">
        <v>4.541666666666667</v>
      </c>
      <c r="E58">
        <v>9.875</v>
      </c>
      <c r="F58">
        <v>38.958333333333343</v>
      </c>
      <c r="G58">
        <v>16.458333333333329</v>
      </c>
      <c r="H58">
        <v>12.04166666666667</v>
      </c>
      <c r="I58">
        <v>1.916666666666667</v>
      </c>
      <c r="J58">
        <v>0</v>
      </c>
      <c r="K58">
        <v>0</v>
      </c>
      <c r="L58">
        <v>-1</v>
      </c>
      <c r="M58">
        <v>35.23316151050318</v>
      </c>
      <c r="N58">
        <v>36.814432480022823</v>
      </c>
      <c r="O58">
        <v>15.642064788495979</v>
      </c>
      <c r="P58">
        <v>15.831463779109781</v>
      </c>
      <c r="Q58">
        <v>50.875226298999152</v>
      </c>
      <c r="R58">
        <v>40.074152320609649</v>
      </c>
      <c r="S58" t="s">
        <v>29</v>
      </c>
      <c r="T58" t="s">
        <v>30</v>
      </c>
      <c r="U58">
        <v>170</v>
      </c>
      <c r="V58">
        <v>90</v>
      </c>
      <c r="W58" t="s">
        <v>31</v>
      </c>
      <c r="X58">
        <v>1024</v>
      </c>
      <c r="Y58">
        <v>1024</v>
      </c>
      <c r="Z58">
        <v>2400</v>
      </c>
      <c r="AA58">
        <v>57</v>
      </c>
      <c r="AB58" t="s">
        <v>88</v>
      </c>
      <c r="AC58">
        <v>20.258933782577511</v>
      </c>
    </row>
    <row r="59" spans="1:29" x14ac:dyDescent="0.3">
      <c r="A59">
        <v>7.416666666666667</v>
      </c>
      <c r="B59">
        <v>4.1666666666666661</v>
      </c>
      <c r="C59">
        <v>5.166666666666667</v>
      </c>
      <c r="D59">
        <v>4.416666666666667</v>
      </c>
      <c r="E59">
        <v>8.0416666666666661</v>
      </c>
      <c r="F59">
        <v>31.875</v>
      </c>
      <c r="G59">
        <v>16.708333333333329</v>
      </c>
      <c r="H59">
        <v>17.416666666666671</v>
      </c>
      <c r="I59">
        <v>4.25</v>
      </c>
      <c r="J59">
        <v>0.54166666666666674</v>
      </c>
      <c r="K59">
        <v>0</v>
      </c>
      <c r="L59">
        <v>-1</v>
      </c>
      <c r="M59">
        <v>37.00219732922961</v>
      </c>
      <c r="N59">
        <v>36.678959093567506</v>
      </c>
      <c r="O59">
        <v>21.6163737917174</v>
      </c>
      <c r="P59">
        <v>20.48366262897239</v>
      </c>
      <c r="Q59">
        <v>58.61857112094701</v>
      </c>
      <c r="R59">
        <v>42.011028015095739</v>
      </c>
      <c r="S59" t="s">
        <v>29</v>
      </c>
      <c r="T59" t="s">
        <v>30</v>
      </c>
      <c r="U59">
        <v>170</v>
      </c>
      <c r="V59">
        <v>90</v>
      </c>
      <c r="W59" t="s">
        <v>31</v>
      </c>
      <c r="X59">
        <v>1024</v>
      </c>
      <c r="Y59">
        <v>1024</v>
      </c>
      <c r="Z59">
        <v>2400</v>
      </c>
      <c r="AA59">
        <v>58</v>
      </c>
      <c r="AB59" t="s">
        <v>89</v>
      </c>
      <c r="AC59">
        <v>20.629378795623779</v>
      </c>
    </row>
    <row r="60" spans="1:29" x14ac:dyDescent="0.3">
      <c r="A60">
        <v>6.958333333333333</v>
      </c>
      <c r="B60">
        <v>3.375</v>
      </c>
      <c r="C60">
        <v>4.75</v>
      </c>
      <c r="D60">
        <v>4.375</v>
      </c>
      <c r="E60">
        <v>9.4166666666666661</v>
      </c>
      <c r="F60">
        <v>37.208333333333329</v>
      </c>
      <c r="G60">
        <v>16.541666666666661</v>
      </c>
      <c r="H60">
        <v>17.375</v>
      </c>
      <c r="I60">
        <v>0</v>
      </c>
      <c r="J60">
        <v>0</v>
      </c>
      <c r="K60">
        <v>0</v>
      </c>
      <c r="L60">
        <v>-1</v>
      </c>
      <c r="M60">
        <v>32.049920258338908</v>
      </c>
      <c r="N60">
        <v>35.427897739439103</v>
      </c>
      <c r="O60">
        <v>16.17729336495389</v>
      </c>
      <c r="P60">
        <v>13.91990714287723</v>
      </c>
      <c r="Q60">
        <v>48.227213623292798</v>
      </c>
      <c r="R60">
        <v>38.064415838187763</v>
      </c>
      <c r="S60" t="s">
        <v>29</v>
      </c>
      <c r="T60" t="s">
        <v>30</v>
      </c>
      <c r="U60">
        <v>170</v>
      </c>
      <c r="V60">
        <v>90</v>
      </c>
      <c r="W60" t="s">
        <v>31</v>
      </c>
      <c r="X60">
        <v>1024</v>
      </c>
      <c r="Y60">
        <v>1024</v>
      </c>
      <c r="Z60">
        <v>2400</v>
      </c>
      <c r="AA60">
        <v>59</v>
      </c>
      <c r="AB60" t="s">
        <v>90</v>
      </c>
      <c r="AC60">
        <v>20.47460412979126</v>
      </c>
    </row>
    <row r="61" spans="1:29" x14ac:dyDescent="0.3">
      <c r="A61">
        <v>3.166666666666667</v>
      </c>
      <c r="B61">
        <v>2.791666666666667</v>
      </c>
      <c r="C61">
        <v>6.5</v>
      </c>
      <c r="D61">
        <v>4</v>
      </c>
      <c r="E61">
        <v>9.2083333333333339</v>
      </c>
      <c r="F61">
        <v>51.166666666666671</v>
      </c>
      <c r="G61">
        <v>10.125</v>
      </c>
      <c r="H61">
        <v>11.625</v>
      </c>
      <c r="I61">
        <v>1.416666666666667</v>
      </c>
      <c r="J61">
        <v>0</v>
      </c>
      <c r="K61">
        <v>0</v>
      </c>
      <c r="L61">
        <v>0.87181216966583797</v>
      </c>
      <c r="M61">
        <v>25.781258840155932</v>
      </c>
      <c r="N61">
        <v>29.592784842926491</v>
      </c>
      <c r="O61">
        <v>12.56152551344451</v>
      </c>
      <c r="P61">
        <v>14.97593938342831</v>
      </c>
      <c r="Q61">
        <v>38.342784353600443</v>
      </c>
      <c r="R61">
        <v>33.166423912985543</v>
      </c>
      <c r="S61" t="s">
        <v>29</v>
      </c>
      <c r="T61" t="s">
        <v>30</v>
      </c>
      <c r="U61">
        <v>170</v>
      </c>
      <c r="V61">
        <v>90</v>
      </c>
      <c r="W61" t="s">
        <v>31</v>
      </c>
      <c r="X61">
        <v>1024</v>
      </c>
      <c r="Y61">
        <v>1024</v>
      </c>
      <c r="Z61">
        <v>2400</v>
      </c>
      <c r="AA61">
        <v>60</v>
      </c>
      <c r="AB61" t="s">
        <v>91</v>
      </c>
      <c r="AC61">
        <v>20.86876201629639</v>
      </c>
    </row>
    <row r="62" spans="1:29" x14ac:dyDescent="0.3">
      <c r="A62">
        <v>5.0416666666666661</v>
      </c>
      <c r="B62">
        <v>6.5</v>
      </c>
      <c r="C62">
        <v>5.166666666666667</v>
      </c>
      <c r="D62">
        <v>5.75</v>
      </c>
      <c r="E62">
        <v>9.5416666666666661</v>
      </c>
      <c r="F62">
        <v>40.625</v>
      </c>
      <c r="G62">
        <v>15.70833333333333</v>
      </c>
      <c r="H62">
        <v>11.66666666666667</v>
      </c>
      <c r="I62">
        <v>0</v>
      </c>
      <c r="J62">
        <v>0</v>
      </c>
      <c r="K62">
        <v>0</v>
      </c>
      <c r="L62">
        <v>-1</v>
      </c>
      <c r="M62">
        <v>33.57064576468759</v>
      </c>
      <c r="N62">
        <v>33.898292743425159</v>
      </c>
      <c r="O62">
        <v>13.730376999514929</v>
      </c>
      <c r="P62">
        <v>14.069428146992321</v>
      </c>
      <c r="Q62">
        <v>47.301022764202507</v>
      </c>
      <c r="R62">
        <v>36.702085217359659</v>
      </c>
      <c r="S62" t="s">
        <v>29</v>
      </c>
      <c r="T62" t="s">
        <v>30</v>
      </c>
      <c r="U62">
        <v>170</v>
      </c>
      <c r="V62">
        <v>90</v>
      </c>
      <c r="W62" t="s">
        <v>31</v>
      </c>
      <c r="X62">
        <v>1024</v>
      </c>
      <c r="Y62">
        <v>1024</v>
      </c>
      <c r="Z62">
        <v>2400</v>
      </c>
      <c r="AA62">
        <v>61</v>
      </c>
      <c r="AB62" t="s">
        <v>92</v>
      </c>
      <c r="AC62">
        <v>20.754840612411499</v>
      </c>
    </row>
    <row r="63" spans="1:29" x14ac:dyDescent="0.3">
      <c r="A63">
        <v>4.083333333333333</v>
      </c>
      <c r="B63">
        <v>4.125</v>
      </c>
      <c r="C63">
        <v>5.6666666666666661</v>
      </c>
      <c r="D63">
        <v>6.2916666666666661</v>
      </c>
      <c r="E63">
        <v>11.08333333333333</v>
      </c>
      <c r="F63">
        <v>34.625</v>
      </c>
      <c r="G63">
        <v>13.5</v>
      </c>
      <c r="H63">
        <v>17.083333333333329</v>
      </c>
      <c r="I63">
        <v>3.541666666666667</v>
      </c>
      <c r="J63">
        <v>0</v>
      </c>
      <c r="K63">
        <v>0</v>
      </c>
      <c r="L63">
        <v>-1</v>
      </c>
      <c r="M63">
        <v>28.66222231223102</v>
      </c>
      <c r="N63">
        <v>30.99515224955687</v>
      </c>
      <c r="O63">
        <v>21.076907402776051</v>
      </c>
      <c r="P63">
        <v>19.446993678942821</v>
      </c>
      <c r="Q63">
        <v>49.739129715007067</v>
      </c>
      <c r="R63">
        <v>36.590777883533057</v>
      </c>
      <c r="S63" t="s">
        <v>29</v>
      </c>
      <c r="T63" t="s">
        <v>30</v>
      </c>
      <c r="U63">
        <v>170</v>
      </c>
      <c r="V63">
        <v>90</v>
      </c>
      <c r="W63" t="s">
        <v>31</v>
      </c>
      <c r="X63">
        <v>1024</v>
      </c>
      <c r="Y63">
        <v>1024</v>
      </c>
      <c r="Z63">
        <v>2400</v>
      </c>
      <c r="AA63">
        <v>62</v>
      </c>
      <c r="AB63" t="s">
        <v>93</v>
      </c>
      <c r="AC63">
        <v>20.43920278549194</v>
      </c>
    </row>
    <row r="64" spans="1:29" x14ac:dyDescent="0.3">
      <c r="A64">
        <v>3.125</v>
      </c>
      <c r="B64">
        <v>4</v>
      </c>
      <c r="C64">
        <v>4.625</v>
      </c>
      <c r="D64">
        <v>5.541666666666667</v>
      </c>
      <c r="E64">
        <v>12.29166666666667</v>
      </c>
      <c r="F64">
        <v>40.583333333333343</v>
      </c>
      <c r="G64">
        <v>14.33333333333333</v>
      </c>
      <c r="H64">
        <v>13.54166666666667</v>
      </c>
      <c r="I64">
        <v>1.291666666666667</v>
      </c>
      <c r="J64">
        <v>0.66666666666666674</v>
      </c>
      <c r="K64">
        <v>0</v>
      </c>
      <c r="L64">
        <v>-0.54137423590391354</v>
      </c>
      <c r="M64">
        <v>26.28559934003718</v>
      </c>
      <c r="N64">
        <v>29.690805208353019</v>
      </c>
      <c r="O64">
        <v>16.42717952942898</v>
      </c>
      <c r="P64">
        <v>17.914155828432609</v>
      </c>
      <c r="Q64">
        <v>42.712778869466163</v>
      </c>
      <c r="R64">
        <v>34.676517889859262</v>
      </c>
      <c r="S64" t="s">
        <v>29</v>
      </c>
      <c r="T64" t="s">
        <v>30</v>
      </c>
      <c r="U64">
        <v>170</v>
      </c>
      <c r="V64">
        <v>90</v>
      </c>
      <c r="W64" t="s">
        <v>31</v>
      </c>
      <c r="X64">
        <v>1024</v>
      </c>
      <c r="Y64">
        <v>1024</v>
      </c>
      <c r="Z64">
        <v>2400</v>
      </c>
      <c r="AA64">
        <v>63</v>
      </c>
      <c r="AB64" t="s">
        <v>94</v>
      </c>
      <c r="AC64">
        <v>20.89213943481445</v>
      </c>
    </row>
    <row r="65" spans="1:29" x14ac:dyDescent="0.3">
      <c r="A65">
        <v>4.3333333333333339</v>
      </c>
      <c r="B65">
        <v>5.5</v>
      </c>
      <c r="C65">
        <v>5.416666666666667</v>
      </c>
      <c r="D65">
        <v>3.583333333333333</v>
      </c>
      <c r="E65">
        <v>11.79166666666667</v>
      </c>
      <c r="F65">
        <v>36.75</v>
      </c>
      <c r="G65">
        <v>15.66666666666667</v>
      </c>
      <c r="H65">
        <v>16.458333333333329</v>
      </c>
      <c r="I65">
        <v>0.5</v>
      </c>
      <c r="J65">
        <v>0</v>
      </c>
      <c r="K65">
        <v>0</v>
      </c>
      <c r="L65">
        <v>-1</v>
      </c>
      <c r="M65">
        <v>31.029694358992291</v>
      </c>
      <c r="N65">
        <v>32.75900251101735</v>
      </c>
      <c r="O65">
        <v>15.788240694484079</v>
      </c>
      <c r="P65">
        <v>14.08679449836526</v>
      </c>
      <c r="Q65">
        <v>46.817935053476383</v>
      </c>
      <c r="R65">
        <v>35.65936096954087</v>
      </c>
      <c r="S65" t="s">
        <v>29</v>
      </c>
      <c r="T65" t="s">
        <v>30</v>
      </c>
      <c r="U65">
        <v>170</v>
      </c>
      <c r="V65">
        <v>90</v>
      </c>
      <c r="W65" t="s">
        <v>31</v>
      </c>
      <c r="X65">
        <v>1024</v>
      </c>
      <c r="Y65">
        <v>1024</v>
      </c>
      <c r="Z65">
        <v>2400</v>
      </c>
      <c r="AA65">
        <v>64</v>
      </c>
      <c r="AB65" t="s">
        <v>95</v>
      </c>
      <c r="AC65">
        <v>20.863600254058841</v>
      </c>
    </row>
    <row r="66" spans="1:29" x14ac:dyDescent="0.3">
      <c r="A66">
        <v>7.1249999999999991</v>
      </c>
      <c r="B66">
        <v>4.666666666666667</v>
      </c>
      <c r="C66">
        <v>5.875</v>
      </c>
      <c r="D66">
        <v>8</v>
      </c>
      <c r="E66">
        <v>8.5416666666666661</v>
      </c>
      <c r="F66">
        <v>33.458333333333343</v>
      </c>
      <c r="G66">
        <v>17.083333333333329</v>
      </c>
      <c r="H66">
        <v>11.5</v>
      </c>
      <c r="I66">
        <v>3.75</v>
      </c>
      <c r="J66">
        <v>0</v>
      </c>
      <c r="K66">
        <v>0</v>
      </c>
      <c r="L66">
        <v>-1</v>
      </c>
      <c r="M66">
        <v>36.820954748008951</v>
      </c>
      <c r="N66">
        <v>34.627948450443263</v>
      </c>
      <c r="O66">
        <v>17.68814464765498</v>
      </c>
      <c r="P66">
        <v>18.66194378163177</v>
      </c>
      <c r="Q66">
        <v>54.509099395663938</v>
      </c>
      <c r="R66">
        <v>39.336534666837913</v>
      </c>
      <c r="S66" t="s">
        <v>29</v>
      </c>
      <c r="T66" t="s">
        <v>30</v>
      </c>
      <c r="U66">
        <v>170</v>
      </c>
      <c r="V66">
        <v>90</v>
      </c>
      <c r="W66" t="s">
        <v>31</v>
      </c>
      <c r="X66">
        <v>1024</v>
      </c>
      <c r="Y66">
        <v>1024</v>
      </c>
      <c r="Z66">
        <v>2400</v>
      </c>
      <c r="AA66">
        <v>65</v>
      </c>
      <c r="AB66" t="s">
        <v>96</v>
      </c>
      <c r="AC66">
        <v>20.421648025512699</v>
      </c>
    </row>
    <row r="67" spans="1:29" x14ac:dyDescent="0.3">
      <c r="A67">
        <v>2.791666666666667</v>
      </c>
      <c r="B67">
        <v>5.083333333333333</v>
      </c>
      <c r="C67">
        <v>6.208333333333333</v>
      </c>
      <c r="D67">
        <v>6.25</v>
      </c>
      <c r="E67">
        <v>11.66666666666667</v>
      </c>
      <c r="F67">
        <v>34.25</v>
      </c>
      <c r="G67">
        <v>18</v>
      </c>
      <c r="H67">
        <v>12</v>
      </c>
      <c r="I67">
        <v>3.75</v>
      </c>
      <c r="J67">
        <v>0</v>
      </c>
      <c r="K67">
        <v>0</v>
      </c>
      <c r="L67">
        <v>-1</v>
      </c>
      <c r="M67">
        <v>29.912137594335629</v>
      </c>
      <c r="N67">
        <v>29.191112831922261</v>
      </c>
      <c r="O67">
        <v>17.484030695067421</v>
      </c>
      <c r="P67">
        <v>17.26839927962131</v>
      </c>
      <c r="Q67">
        <v>47.39616828940305</v>
      </c>
      <c r="R67">
        <v>33.916348300582747</v>
      </c>
      <c r="S67" t="s">
        <v>29</v>
      </c>
      <c r="T67" t="s">
        <v>30</v>
      </c>
      <c r="U67">
        <v>170</v>
      </c>
      <c r="V67">
        <v>90</v>
      </c>
      <c r="W67" t="s">
        <v>31</v>
      </c>
      <c r="X67">
        <v>1024</v>
      </c>
      <c r="Y67">
        <v>1024</v>
      </c>
      <c r="Z67">
        <v>2400</v>
      </c>
      <c r="AA67">
        <v>66</v>
      </c>
      <c r="AB67" t="s">
        <v>97</v>
      </c>
      <c r="AC67">
        <v>20.62397742271423</v>
      </c>
    </row>
    <row r="68" spans="1:29" x14ac:dyDescent="0.3">
      <c r="A68">
        <v>4.208333333333333</v>
      </c>
      <c r="B68">
        <v>3.75</v>
      </c>
      <c r="C68">
        <v>5.166666666666667</v>
      </c>
      <c r="D68">
        <v>5.541666666666667</v>
      </c>
      <c r="E68">
        <v>8.1666666666666661</v>
      </c>
      <c r="F68">
        <v>47.625</v>
      </c>
      <c r="G68">
        <v>13.20833333333333</v>
      </c>
      <c r="H68">
        <v>12.33333333333333</v>
      </c>
      <c r="I68">
        <v>0</v>
      </c>
      <c r="J68">
        <v>0</v>
      </c>
      <c r="K68">
        <v>0</v>
      </c>
      <c r="L68">
        <v>0.68405570685965911</v>
      </c>
      <c r="M68">
        <v>27.619390854186761</v>
      </c>
      <c r="N68">
        <v>31.567504792619161</v>
      </c>
      <c r="O68">
        <v>12.916499509821239</v>
      </c>
      <c r="P68">
        <v>13.580333640886501</v>
      </c>
      <c r="Q68">
        <v>40.535890364007997</v>
      </c>
      <c r="R68">
        <v>34.364703121514488</v>
      </c>
      <c r="S68" t="s">
        <v>29</v>
      </c>
      <c r="T68" t="s">
        <v>30</v>
      </c>
      <c r="U68">
        <v>170</v>
      </c>
      <c r="V68">
        <v>90</v>
      </c>
      <c r="W68" t="s">
        <v>31</v>
      </c>
      <c r="X68">
        <v>1024</v>
      </c>
      <c r="Y68">
        <v>1024</v>
      </c>
      <c r="Z68">
        <v>2400</v>
      </c>
      <c r="AA68">
        <v>67</v>
      </c>
      <c r="AB68" t="s">
        <v>98</v>
      </c>
      <c r="AC68">
        <v>20.708999872207642</v>
      </c>
    </row>
    <row r="69" spans="1:29" x14ac:dyDescent="0.3">
      <c r="A69">
        <v>4.875</v>
      </c>
      <c r="B69">
        <v>3.458333333333333</v>
      </c>
      <c r="C69">
        <v>7.041666666666667</v>
      </c>
      <c r="D69">
        <v>5.375</v>
      </c>
      <c r="E69">
        <v>9.9166666666666661</v>
      </c>
      <c r="F69">
        <v>39.041666666666671</v>
      </c>
      <c r="G69">
        <v>16.791666666666661</v>
      </c>
      <c r="H69">
        <v>13.125</v>
      </c>
      <c r="I69">
        <v>0.375</v>
      </c>
      <c r="J69">
        <v>0</v>
      </c>
      <c r="K69">
        <v>0</v>
      </c>
      <c r="L69">
        <v>-1</v>
      </c>
      <c r="M69">
        <v>29.987898792648529</v>
      </c>
      <c r="N69">
        <v>32.410774546303792</v>
      </c>
      <c r="O69">
        <v>15.12904131698995</v>
      </c>
      <c r="P69">
        <v>14.599530096169209</v>
      </c>
      <c r="Q69">
        <v>45.116940109638477</v>
      </c>
      <c r="R69">
        <v>35.547216286515102</v>
      </c>
      <c r="S69" t="s">
        <v>29</v>
      </c>
      <c r="T69" t="s">
        <v>30</v>
      </c>
      <c r="U69">
        <v>170</v>
      </c>
      <c r="V69">
        <v>90</v>
      </c>
      <c r="W69" t="s">
        <v>31</v>
      </c>
      <c r="X69">
        <v>1024</v>
      </c>
      <c r="Y69">
        <v>1024</v>
      </c>
      <c r="Z69">
        <v>2400</v>
      </c>
      <c r="AA69">
        <v>68</v>
      </c>
      <c r="AB69" t="s">
        <v>99</v>
      </c>
      <c r="AC69">
        <v>20.5802628993988</v>
      </c>
    </row>
    <row r="70" spans="1:29" x14ac:dyDescent="0.3">
      <c r="A70">
        <v>1.791666666666667</v>
      </c>
      <c r="B70">
        <v>4.583333333333333</v>
      </c>
      <c r="C70">
        <v>5.916666666666667</v>
      </c>
      <c r="D70">
        <v>5.3333333333333339</v>
      </c>
      <c r="E70">
        <v>9.75</v>
      </c>
      <c r="F70">
        <v>48.291666666666657</v>
      </c>
      <c r="G70">
        <v>11.5</v>
      </c>
      <c r="H70">
        <v>10.70833333333333</v>
      </c>
      <c r="I70">
        <v>2.125</v>
      </c>
      <c r="J70">
        <v>0</v>
      </c>
      <c r="K70">
        <v>0</v>
      </c>
      <c r="L70">
        <v>-1</v>
      </c>
      <c r="M70">
        <v>25.137419565232609</v>
      </c>
      <c r="N70">
        <v>27.88398107639258</v>
      </c>
      <c r="O70">
        <v>13.6191893653862</v>
      </c>
      <c r="P70">
        <v>16.854457000818531</v>
      </c>
      <c r="Q70">
        <v>38.756608930618818</v>
      </c>
      <c r="R70">
        <v>32.582036791168541</v>
      </c>
      <c r="S70" t="s">
        <v>29</v>
      </c>
      <c r="T70" t="s">
        <v>30</v>
      </c>
      <c r="U70">
        <v>170</v>
      </c>
      <c r="V70">
        <v>90</v>
      </c>
      <c r="W70" t="s">
        <v>31</v>
      </c>
      <c r="X70">
        <v>1024</v>
      </c>
      <c r="Y70">
        <v>1024</v>
      </c>
      <c r="Z70">
        <v>2400</v>
      </c>
      <c r="AA70">
        <v>69</v>
      </c>
      <c r="AB70" t="s">
        <v>100</v>
      </c>
      <c r="AC70">
        <v>20.778112173080441</v>
      </c>
    </row>
    <row r="71" spans="1:29" x14ac:dyDescent="0.3">
      <c r="A71">
        <v>3.5</v>
      </c>
      <c r="B71">
        <v>4.083333333333333</v>
      </c>
      <c r="C71">
        <v>6.3333333333333339</v>
      </c>
      <c r="D71">
        <v>7.083333333333333</v>
      </c>
      <c r="E71">
        <v>9.2083333333333339</v>
      </c>
      <c r="F71">
        <v>44.375</v>
      </c>
      <c r="G71">
        <v>14.41666666666667</v>
      </c>
      <c r="H71">
        <v>8.5833333333333339</v>
      </c>
      <c r="I71">
        <v>2.416666666666667</v>
      </c>
      <c r="J71">
        <v>0</v>
      </c>
      <c r="K71">
        <v>0</v>
      </c>
      <c r="L71">
        <v>-1</v>
      </c>
      <c r="M71">
        <v>27.91161855380567</v>
      </c>
      <c r="N71">
        <v>29.939022970114099</v>
      </c>
      <c r="O71">
        <v>14.10228740203195</v>
      </c>
      <c r="P71">
        <v>16.970709588301681</v>
      </c>
      <c r="Q71">
        <v>42.013905955837608</v>
      </c>
      <c r="R71">
        <v>34.414387693746548</v>
      </c>
      <c r="S71" t="s">
        <v>29</v>
      </c>
      <c r="T71" t="s">
        <v>30</v>
      </c>
      <c r="U71">
        <v>170</v>
      </c>
      <c r="V71">
        <v>90</v>
      </c>
      <c r="W71" t="s">
        <v>31</v>
      </c>
      <c r="X71">
        <v>1024</v>
      </c>
      <c r="Y71">
        <v>1024</v>
      </c>
      <c r="Z71">
        <v>2400</v>
      </c>
      <c r="AA71">
        <v>70</v>
      </c>
      <c r="AB71" t="s">
        <v>101</v>
      </c>
      <c r="AC71">
        <v>20.507138729095459</v>
      </c>
    </row>
    <row r="72" spans="1:29" x14ac:dyDescent="0.3">
      <c r="A72">
        <v>3.916666666666667</v>
      </c>
      <c r="B72">
        <v>4.0416666666666661</v>
      </c>
      <c r="C72">
        <v>3.75</v>
      </c>
      <c r="D72">
        <v>4.5</v>
      </c>
      <c r="E72">
        <v>8.875</v>
      </c>
      <c r="F72">
        <v>47.375</v>
      </c>
      <c r="G72">
        <v>15.16666666666667</v>
      </c>
      <c r="H72">
        <v>10.29166666666667</v>
      </c>
      <c r="I72">
        <v>2.083333333333333</v>
      </c>
      <c r="J72">
        <v>0</v>
      </c>
      <c r="K72">
        <v>0</v>
      </c>
      <c r="L72">
        <v>-0.520330578589004</v>
      </c>
      <c r="M72">
        <v>26.797592516831742</v>
      </c>
      <c r="N72">
        <v>31.99217091420255</v>
      </c>
      <c r="O72">
        <v>14.06249476739392</v>
      </c>
      <c r="P72">
        <v>16.494445329843511</v>
      </c>
      <c r="Q72">
        <v>40.860087284225663</v>
      </c>
      <c r="R72">
        <v>35.993967918843623</v>
      </c>
      <c r="S72" t="s">
        <v>29</v>
      </c>
      <c r="T72" t="s">
        <v>30</v>
      </c>
      <c r="U72">
        <v>170</v>
      </c>
      <c r="V72">
        <v>90</v>
      </c>
      <c r="W72" t="s">
        <v>31</v>
      </c>
      <c r="X72">
        <v>1024</v>
      </c>
      <c r="Y72">
        <v>1024</v>
      </c>
      <c r="Z72">
        <v>2400</v>
      </c>
      <c r="AA72">
        <v>71</v>
      </c>
      <c r="AB72" t="s">
        <v>102</v>
      </c>
      <c r="AC72">
        <v>20.842755556106571</v>
      </c>
    </row>
    <row r="73" spans="1:29" x14ac:dyDescent="0.3">
      <c r="A73">
        <v>6.75</v>
      </c>
      <c r="B73">
        <v>5.25</v>
      </c>
      <c r="C73">
        <v>4.375</v>
      </c>
      <c r="D73">
        <v>6.041666666666667</v>
      </c>
      <c r="E73">
        <v>9.75</v>
      </c>
      <c r="F73">
        <v>41.375</v>
      </c>
      <c r="G73">
        <v>12.375</v>
      </c>
      <c r="H73">
        <v>12.83333333333333</v>
      </c>
      <c r="I73">
        <v>1.25</v>
      </c>
      <c r="J73">
        <v>0</v>
      </c>
      <c r="K73">
        <v>0</v>
      </c>
      <c r="L73">
        <v>-1</v>
      </c>
      <c r="M73">
        <v>32.508090978018622</v>
      </c>
      <c r="N73">
        <v>35.130827626797647</v>
      </c>
      <c r="O73">
        <v>15.546922721543099</v>
      </c>
      <c r="P73">
        <v>16.553492037011502</v>
      </c>
      <c r="Q73">
        <v>48.055013699561727</v>
      </c>
      <c r="R73">
        <v>38.835462509968544</v>
      </c>
      <c r="S73" t="s">
        <v>29</v>
      </c>
      <c r="T73" t="s">
        <v>30</v>
      </c>
      <c r="U73">
        <v>170</v>
      </c>
      <c r="V73">
        <v>90</v>
      </c>
      <c r="W73" t="s">
        <v>31</v>
      </c>
      <c r="X73">
        <v>1024</v>
      </c>
      <c r="Y73">
        <v>1024</v>
      </c>
      <c r="Z73">
        <v>2400</v>
      </c>
      <c r="AA73">
        <v>72</v>
      </c>
      <c r="AB73" t="s">
        <v>103</v>
      </c>
      <c r="AC73">
        <v>20.36632513999939</v>
      </c>
    </row>
    <row r="74" spans="1:29" x14ac:dyDescent="0.3">
      <c r="A74">
        <v>5.625</v>
      </c>
      <c r="B74">
        <v>3.25</v>
      </c>
      <c r="C74">
        <v>4.5</v>
      </c>
      <c r="D74">
        <v>5.708333333333333</v>
      </c>
      <c r="E74">
        <v>10.16666666666667</v>
      </c>
      <c r="F74">
        <v>48.166666666666671</v>
      </c>
      <c r="G74">
        <v>11.70833333333333</v>
      </c>
      <c r="H74">
        <v>8.8333333333333339</v>
      </c>
      <c r="I74">
        <v>2.041666666666667</v>
      </c>
      <c r="J74">
        <v>0</v>
      </c>
      <c r="K74">
        <v>0</v>
      </c>
      <c r="L74">
        <v>0.91704286171189819</v>
      </c>
      <c r="M74">
        <v>29.841133265251191</v>
      </c>
      <c r="N74">
        <v>33.664147555157562</v>
      </c>
      <c r="O74">
        <v>12.766599877141269</v>
      </c>
      <c r="P74">
        <v>16.42853443970235</v>
      </c>
      <c r="Q74">
        <v>42.607733142392462</v>
      </c>
      <c r="R74">
        <v>37.45893183810648</v>
      </c>
      <c r="S74" t="s">
        <v>29</v>
      </c>
      <c r="T74" t="s">
        <v>30</v>
      </c>
      <c r="U74">
        <v>170</v>
      </c>
      <c r="V74">
        <v>90</v>
      </c>
      <c r="W74" t="s">
        <v>31</v>
      </c>
      <c r="X74">
        <v>1024</v>
      </c>
      <c r="Y74">
        <v>1024</v>
      </c>
      <c r="Z74">
        <v>2400</v>
      </c>
      <c r="AA74">
        <v>73</v>
      </c>
      <c r="AB74" t="s">
        <v>104</v>
      </c>
      <c r="AC74">
        <v>20.619017839431759</v>
      </c>
    </row>
    <row r="75" spans="1:29" x14ac:dyDescent="0.3">
      <c r="A75">
        <v>8.25</v>
      </c>
      <c r="B75">
        <v>4.5</v>
      </c>
      <c r="C75">
        <v>4.625</v>
      </c>
      <c r="D75">
        <v>3.833333333333333</v>
      </c>
      <c r="E75">
        <v>10.20833333333333</v>
      </c>
      <c r="F75">
        <v>41.791666666666657</v>
      </c>
      <c r="G75">
        <v>12.95833333333333</v>
      </c>
      <c r="H75">
        <v>13.16666666666667</v>
      </c>
      <c r="I75">
        <v>0.66666666666666674</v>
      </c>
      <c r="J75">
        <v>0</v>
      </c>
      <c r="K75">
        <v>0</v>
      </c>
      <c r="L75">
        <v>-1</v>
      </c>
      <c r="M75">
        <v>35.696316655852478</v>
      </c>
      <c r="N75">
        <v>37.197982058740877</v>
      </c>
      <c r="O75">
        <v>13.599153322551359</v>
      </c>
      <c r="P75">
        <v>14.43197284901138</v>
      </c>
      <c r="Q75">
        <v>49.295469978403837</v>
      </c>
      <c r="R75">
        <v>39.899520167002137</v>
      </c>
      <c r="S75" t="s">
        <v>29</v>
      </c>
      <c r="T75" t="s">
        <v>30</v>
      </c>
      <c r="U75">
        <v>170</v>
      </c>
      <c r="V75">
        <v>90</v>
      </c>
      <c r="W75" t="s">
        <v>31</v>
      </c>
      <c r="X75">
        <v>1024</v>
      </c>
      <c r="Y75">
        <v>1024</v>
      </c>
      <c r="Z75">
        <v>2400</v>
      </c>
      <c r="AA75">
        <v>74</v>
      </c>
      <c r="AB75" t="s">
        <v>105</v>
      </c>
      <c r="AC75">
        <v>20.376812696456909</v>
      </c>
    </row>
    <row r="76" spans="1:29" x14ac:dyDescent="0.3">
      <c r="A76">
        <v>8.5416666666666661</v>
      </c>
      <c r="B76">
        <v>4.9166666666666661</v>
      </c>
      <c r="C76">
        <v>4.958333333333333</v>
      </c>
      <c r="D76">
        <v>5.6666666666666661</v>
      </c>
      <c r="E76">
        <v>8.5</v>
      </c>
      <c r="F76">
        <v>33.583333333333329</v>
      </c>
      <c r="G76">
        <v>14.29166666666667</v>
      </c>
      <c r="H76">
        <v>17.833333333333339</v>
      </c>
      <c r="I76">
        <v>1.708333333333333</v>
      </c>
      <c r="J76">
        <v>0</v>
      </c>
      <c r="K76">
        <v>0</v>
      </c>
      <c r="L76">
        <v>-0.33917895062304121</v>
      </c>
      <c r="M76">
        <v>37.545972540797131</v>
      </c>
      <c r="N76">
        <v>37.061586334790547</v>
      </c>
      <c r="O76">
        <v>19.055213918606771</v>
      </c>
      <c r="P76">
        <v>16.819028895798571</v>
      </c>
      <c r="Q76">
        <v>56.601186459403912</v>
      </c>
      <c r="R76">
        <v>40.699396981390777</v>
      </c>
      <c r="S76" t="s">
        <v>29</v>
      </c>
      <c r="T76" t="s">
        <v>30</v>
      </c>
      <c r="U76">
        <v>170</v>
      </c>
      <c r="V76">
        <v>90</v>
      </c>
      <c r="W76" t="s">
        <v>31</v>
      </c>
      <c r="X76">
        <v>1024</v>
      </c>
      <c r="Y76">
        <v>1024</v>
      </c>
      <c r="Z76">
        <v>2400</v>
      </c>
      <c r="AA76">
        <v>75</v>
      </c>
      <c r="AB76" t="s">
        <v>106</v>
      </c>
      <c r="AC76">
        <v>20.412477016448971</v>
      </c>
    </row>
    <row r="77" spans="1:29" x14ac:dyDescent="0.3">
      <c r="A77">
        <v>4.375</v>
      </c>
      <c r="B77">
        <v>2.708333333333333</v>
      </c>
      <c r="C77">
        <v>5.9583333333333339</v>
      </c>
      <c r="D77">
        <v>7.291666666666667</v>
      </c>
      <c r="E77">
        <v>8.2083333333333321</v>
      </c>
      <c r="F77">
        <v>41.375</v>
      </c>
      <c r="G77">
        <v>17.416666666666671</v>
      </c>
      <c r="H77">
        <v>12.66666666666667</v>
      </c>
      <c r="I77">
        <v>0</v>
      </c>
      <c r="J77">
        <v>0</v>
      </c>
      <c r="K77">
        <v>0</v>
      </c>
      <c r="L77">
        <v>0.39480232812150201</v>
      </c>
      <c r="M77">
        <v>28.489179490256081</v>
      </c>
      <c r="N77">
        <v>31.306555423604511</v>
      </c>
      <c r="O77">
        <v>13.405555389286979</v>
      </c>
      <c r="P77">
        <v>12.108888147829999</v>
      </c>
      <c r="Q77">
        <v>41.894734879543073</v>
      </c>
      <c r="R77">
        <v>33.566733303493791</v>
      </c>
      <c r="S77" t="s">
        <v>29</v>
      </c>
      <c r="T77" t="s">
        <v>30</v>
      </c>
      <c r="U77">
        <v>170</v>
      </c>
      <c r="V77">
        <v>90</v>
      </c>
      <c r="W77" t="s">
        <v>31</v>
      </c>
      <c r="X77">
        <v>1024</v>
      </c>
      <c r="Y77">
        <v>1024</v>
      </c>
      <c r="Z77">
        <v>2400</v>
      </c>
      <c r="AA77">
        <v>76</v>
      </c>
      <c r="AB77" t="s">
        <v>107</v>
      </c>
      <c r="AC77">
        <v>20.660972833633419</v>
      </c>
    </row>
    <row r="78" spans="1:29" x14ac:dyDescent="0.3">
      <c r="A78">
        <v>8.9166666666666679</v>
      </c>
      <c r="B78">
        <v>6</v>
      </c>
      <c r="C78">
        <v>5.7916666666666661</v>
      </c>
      <c r="D78">
        <v>4.125</v>
      </c>
      <c r="E78">
        <v>8.125</v>
      </c>
      <c r="F78">
        <v>38.75</v>
      </c>
      <c r="G78">
        <v>14.04166666666667</v>
      </c>
      <c r="H78">
        <v>14.25</v>
      </c>
      <c r="I78">
        <v>0</v>
      </c>
      <c r="J78">
        <v>0</v>
      </c>
      <c r="K78">
        <v>0</v>
      </c>
      <c r="L78">
        <v>-1</v>
      </c>
      <c r="M78">
        <v>38.728541052715663</v>
      </c>
      <c r="N78">
        <v>37.709878618553482</v>
      </c>
      <c r="O78">
        <v>14.36120928652729</v>
      </c>
      <c r="P78">
        <v>12.92901896098398</v>
      </c>
      <c r="Q78">
        <v>53.089750339242947</v>
      </c>
      <c r="R78">
        <v>39.864702140107859</v>
      </c>
      <c r="S78" t="s">
        <v>29</v>
      </c>
      <c r="T78" t="s">
        <v>30</v>
      </c>
      <c r="U78">
        <v>170</v>
      </c>
      <c r="V78">
        <v>90</v>
      </c>
      <c r="W78" t="s">
        <v>31</v>
      </c>
      <c r="X78">
        <v>1024</v>
      </c>
      <c r="Y78">
        <v>1024</v>
      </c>
      <c r="Z78">
        <v>2400</v>
      </c>
      <c r="AA78">
        <v>77</v>
      </c>
      <c r="AB78" t="s">
        <v>108</v>
      </c>
      <c r="AC78">
        <v>20.605639934539791</v>
      </c>
    </row>
    <row r="79" spans="1:29" x14ac:dyDescent="0.3">
      <c r="A79">
        <v>4.0416666666666661</v>
      </c>
      <c r="B79">
        <v>4.1666666666666661</v>
      </c>
      <c r="C79">
        <v>3.666666666666667</v>
      </c>
      <c r="D79">
        <v>3.625</v>
      </c>
      <c r="E79">
        <v>9.9166666666666661</v>
      </c>
      <c r="F79">
        <v>51.333333333333329</v>
      </c>
      <c r="G79">
        <v>12.75</v>
      </c>
      <c r="H79">
        <v>10.5</v>
      </c>
      <c r="I79">
        <v>0</v>
      </c>
      <c r="J79">
        <v>0</v>
      </c>
      <c r="K79">
        <v>0</v>
      </c>
      <c r="L79">
        <v>0.48922003490666249</v>
      </c>
      <c r="M79">
        <v>26.765678441286731</v>
      </c>
      <c r="N79">
        <v>32.620930620297877</v>
      </c>
      <c r="O79">
        <v>11.68376126203966</v>
      </c>
      <c r="P79">
        <v>13.49476927192041</v>
      </c>
      <c r="Q79">
        <v>38.449439703326391</v>
      </c>
      <c r="R79">
        <v>35.302038358098457</v>
      </c>
      <c r="S79" t="s">
        <v>29</v>
      </c>
      <c r="T79" t="s">
        <v>30</v>
      </c>
      <c r="U79">
        <v>170</v>
      </c>
      <c r="V79">
        <v>90</v>
      </c>
      <c r="W79" t="s">
        <v>31</v>
      </c>
      <c r="X79">
        <v>1024</v>
      </c>
      <c r="Y79">
        <v>1024</v>
      </c>
      <c r="Z79">
        <v>2400</v>
      </c>
      <c r="AA79">
        <v>78</v>
      </c>
      <c r="AB79" t="s">
        <v>109</v>
      </c>
      <c r="AC79">
        <v>20.828238964080811</v>
      </c>
    </row>
    <row r="80" spans="1:29" x14ac:dyDescent="0.3">
      <c r="A80">
        <v>7.625</v>
      </c>
      <c r="B80">
        <v>6</v>
      </c>
      <c r="C80">
        <v>2.625</v>
      </c>
      <c r="D80">
        <v>3.708333333333333</v>
      </c>
      <c r="E80">
        <v>10.79166666666667</v>
      </c>
      <c r="F80">
        <v>37.541666666666657</v>
      </c>
      <c r="G80">
        <v>14.83333333333333</v>
      </c>
      <c r="H80">
        <v>15.25</v>
      </c>
      <c r="I80">
        <v>1.625</v>
      </c>
      <c r="J80">
        <v>0</v>
      </c>
      <c r="K80">
        <v>0</v>
      </c>
      <c r="L80">
        <v>0.98348689476512829</v>
      </c>
      <c r="M80">
        <v>35.299191978405851</v>
      </c>
      <c r="N80">
        <v>37.327691619130633</v>
      </c>
      <c r="O80">
        <v>17.072114746818858</v>
      </c>
      <c r="P80">
        <v>16.58418215438774</v>
      </c>
      <c r="Q80">
        <v>52.371306725224713</v>
      </c>
      <c r="R80">
        <v>40.845950342020778</v>
      </c>
      <c r="S80" t="s">
        <v>29</v>
      </c>
      <c r="T80" t="s">
        <v>30</v>
      </c>
      <c r="U80">
        <v>170</v>
      </c>
      <c r="V80">
        <v>90</v>
      </c>
      <c r="W80" t="s">
        <v>31</v>
      </c>
      <c r="X80">
        <v>1024</v>
      </c>
      <c r="Y80">
        <v>1024</v>
      </c>
      <c r="Z80">
        <v>2400</v>
      </c>
      <c r="AA80">
        <v>79</v>
      </c>
      <c r="AB80" t="s">
        <v>110</v>
      </c>
      <c r="AC80">
        <v>20.659833192825321</v>
      </c>
    </row>
    <row r="81" spans="1:29" x14ac:dyDescent="0.3">
      <c r="A81">
        <v>3.875</v>
      </c>
      <c r="B81">
        <v>4.75</v>
      </c>
      <c r="C81">
        <v>6.208333333333333</v>
      </c>
      <c r="D81">
        <v>3.333333333333333</v>
      </c>
      <c r="E81">
        <v>9.125</v>
      </c>
      <c r="F81">
        <v>44.833333333333329</v>
      </c>
      <c r="G81">
        <v>11.54166666666667</v>
      </c>
      <c r="H81">
        <v>13.875</v>
      </c>
      <c r="I81">
        <v>2.458333333333333</v>
      </c>
      <c r="J81">
        <v>0</v>
      </c>
      <c r="K81">
        <v>0</v>
      </c>
      <c r="L81">
        <v>-1</v>
      </c>
      <c r="M81">
        <v>26.89332522398799</v>
      </c>
      <c r="N81">
        <v>32.045714875830143</v>
      </c>
      <c r="O81">
        <v>17.729905250926141</v>
      </c>
      <c r="P81">
        <v>18.744625290516481</v>
      </c>
      <c r="Q81">
        <v>44.623230474914138</v>
      </c>
      <c r="R81">
        <v>37.125312378280007</v>
      </c>
      <c r="S81" t="s">
        <v>29</v>
      </c>
      <c r="T81" t="s">
        <v>30</v>
      </c>
      <c r="U81">
        <v>170</v>
      </c>
      <c r="V81">
        <v>90</v>
      </c>
      <c r="W81" t="s">
        <v>31</v>
      </c>
      <c r="X81">
        <v>1024</v>
      </c>
      <c r="Y81">
        <v>1024</v>
      </c>
      <c r="Z81">
        <v>2400</v>
      </c>
      <c r="AA81">
        <v>80</v>
      </c>
      <c r="AB81" t="s">
        <v>111</v>
      </c>
      <c r="AC81">
        <v>20.434935331344601</v>
      </c>
    </row>
    <row r="82" spans="1:29" x14ac:dyDescent="0.3">
      <c r="A82">
        <v>6.375</v>
      </c>
      <c r="B82">
        <v>5.25</v>
      </c>
      <c r="C82">
        <v>5.708333333333333</v>
      </c>
      <c r="D82">
        <v>4.1666666666666661</v>
      </c>
      <c r="E82">
        <v>10.16666666666667</v>
      </c>
      <c r="F82">
        <v>38.291666666666671</v>
      </c>
      <c r="G82">
        <v>16.25</v>
      </c>
      <c r="H82">
        <v>13.79166666666667</v>
      </c>
      <c r="I82">
        <v>0</v>
      </c>
      <c r="J82">
        <v>0</v>
      </c>
      <c r="K82">
        <v>0</v>
      </c>
      <c r="L82">
        <v>-1</v>
      </c>
      <c r="M82">
        <v>33.597033737731863</v>
      </c>
      <c r="N82">
        <v>34.95429436502021</v>
      </c>
      <c r="O82">
        <v>14.32948734273867</v>
      </c>
      <c r="P82">
        <v>13.138269732718109</v>
      </c>
      <c r="Q82">
        <v>47.926521080470543</v>
      </c>
      <c r="R82">
        <v>37.341891035754202</v>
      </c>
      <c r="S82" t="s">
        <v>29</v>
      </c>
      <c r="T82" t="s">
        <v>30</v>
      </c>
      <c r="U82">
        <v>170</v>
      </c>
      <c r="V82">
        <v>90</v>
      </c>
      <c r="W82" t="s">
        <v>31</v>
      </c>
      <c r="X82">
        <v>1024</v>
      </c>
      <c r="Y82">
        <v>1024</v>
      </c>
      <c r="Z82">
        <v>2400</v>
      </c>
      <c r="AA82">
        <v>81</v>
      </c>
      <c r="AB82" t="s">
        <v>112</v>
      </c>
      <c r="AC82">
        <v>20.666299104690552</v>
      </c>
    </row>
    <row r="83" spans="1:29" x14ac:dyDescent="0.3">
      <c r="A83">
        <v>2.666666666666667</v>
      </c>
      <c r="B83">
        <v>3</v>
      </c>
      <c r="C83">
        <v>5.416666666666667</v>
      </c>
      <c r="D83">
        <v>4.4583333333333339</v>
      </c>
      <c r="E83">
        <v>8.875</v>
      </c>
      <c r="F83">
        <v>48.833333333333343</v>
      </c>
      <c r="G83">
        <v>10.75</v>
      </c>
      <c r="H83">
        <v>14.79166666666667</v>
      </c>
      <c r="I83">
        <v>1.208333333333333</v>
      </c>
      <c r="J83">
        <v>0</v>
      </c>
      <c r="K83">
        <v>0</v>
      </c>
      <c r="L83">
        <v>-1</v>
      </c>
      <c r="M83">
        <v>23.798203757432091</v>
      </c>
      <c r="N83">
        <v>28.757392934109209</v>
      </c>
      <c r="O83">
        <v>15.0536115444704</v>
      </c>
      <c r="P83">
        <v>16.12566365933316</v>
      </c>
      <c r="Q83">
        <v>38.851815301902498</v>
      </c>
      <c r="R83">
        <v>32.970057276575851</v>
      </c>
      <c r="S83" t="s">
        <v>29</v>
      </c>
      <c r="T83" t="s">
        <v>30</v>
      </c>
      <c r="U83">
        <v>170</v>
      </c>
      <c r="V83">
        <v>90</v>
      </c>
      <c r="W83" t="s">
        <v>31</v>
      </c>
      <c r="X83">
        <v>1024</v>
      </c>
      <c r="Y83">
        <v>1024</v>
      </c>
      <c r="Z83">
        <v>2400</v>
      </c>
      <c r="AA83">
        <v>82</v>
      </c>
      <c r="AB83" t="s">
        <v>113</v>
      </c>
      <c r="AC83">
        <v>20.861748933792111</v>
      </c>
    </row>
    <row r="84" spans="1:29" x14ac:dyDescent="0.3">
      <c r="A84">
        <v>3.958333333333333</v>
      </c>
      <c r="B84">
        <v>2.333333333333333</v>
      </c>
      <c r="C84">
        <v>2.583333333333333</v>
      </c>
      <c r="D84">
        <v>5.291666666666667</v>
      </c>
      <c r="E84">
        <v>11.5</v>
      </c>
      <c r="F84">
        <v>52.416666666666657</v>
      </c>
      <c r="G84">
        <v>14.75</v>
      </c>
      <c r="H84">
        <v>7.166666666666667</v>
      </c>
      <c r="I84">
        <v>0</v>
      </c>
      <c r="J84">
        <v>0</v>
      </c>
      <c r="K84">
        <v>0</v>
      </c>
      <c r="L84">
        <v>-1</v>
      </c>
      <c r="M84">
        <v>22.055238307737749</v>
      </c>
      <c r="N84">
        <v>29.477987071607451</v>
      </c>
      <c r="O84">
        <v>10.073815763927371</v>
      </c>
      <c r="P84">
        <v>10.37503770407203</v>
      </c>
      <c r="Q84">
        <v>32.129054071665117</v>
      </c>
      <c r="R84">
        <v>31.250490062633769</v>
      </c>
      <c r="S84" t="s">
        <v>29</v>
      </c>
      <c r="T84" t="s">
        <v>30</v>
      </c>
      <c r="U84">
        <v>170</v>
      </c>
      <c r="V84">
        <v>90</v>
      </c>
      <c r="W84" t="s">
        <v>31</v>
      </c>
      <c r="X84">
        <v>1024</v>
      </c>
      <c r="Y84">
        <v>1024</v>
      </c>
      <c r="Z84">
        <v>2400</v>
      </c>
      <c r="AA84">
        <v>83</v>
      </c>
      <c r="AB84" t="s">
        <v>114</v>
      </c>
      <c r="AC84">
        <v>20.517042398452759</v>
      </c>
    </row>
    <row r="85" spans="1:29" x14ac:dyDescent="0.3">
      <c r="A85">
        <v>2.833333333333333</v>
      </c>
      <c r="B85">
        <v>2.833333333333333</v>
      </c>
      <c r="C85">
        <v>5.583333333333333</v>
      </c>
      <c r="D85">
        <v>6.75</v>
      </c>
      <c r="E85">
        <v>10.20833333333333</v>
      </c>
      <c r="F85">
        <v>42.333333333333343</v>
      </c>
      <c r="G85">
        <v>16.75</v>
      </c>
      <c r="H85">
        <v>10.54166666666667</v>
      </c>
      <c r="I85">
        <v>1.208333333333333</v>
      </c>
      <c r="J85">
        <v>0.95833333333333326</v>
      </c>
      <c r="K85">
        <v>0</v>
      </c>
      <c r="L85">
        <v>0.98807483259289619</v>
      </c>
      <c r="M85">
        <v>25.512250025405731</v>
      </c>
      <c r="N85">
        <v>28.425637706304379</v>
      </c>
      <c r="O85">
        <v>15.03382241447674</v>
      </c>
      <c r="P85">
        <v>17.513026800168099</v>
      </c>
      <c r="Q85">
        <v>40.546072439882472</v>
      </c>
      <c r="R85">
        <v>33.387467509733042</v>
      </c>
      <c r="S85" t="s">
        <v>29</v>
      </c>
      <c r="T85" t="s">
        <v>30</v>
      </c>
      <c r="U85">
        <v>170</v>
      </c>
      <c r="V85">
        <v>90</v>
      </c>
      <c r="W85" t="s">
        <v>31</v>
      </c>
      <c r="X85">
        <v>1024</v>
      </c>
      <c r="Y85">
        <v>1024</v>
      </c>
      <c r="Z85">
        <v>2400</v>
      </c>
      <c r="AA85">
        <v>84</v>
      </c>
      <c r="AB85" t="s">
        <v>115</v>
      </c>
      <c r="AC85">
        <v>20.95526123046875</v>
      </c>
    </row>
    <row r="86" spans="1:29" x14ac:dyDescent="0.3">
      <c r="A86">
        <v>4.9166666666666661</v>
      </c>
      <c r="B86">
        <v>5.125</v>
      </c>
      <c r="C86">
        <v>5.6666666666666661</v>
      </c>
      <c r="D86">
        <v>3.333333333333333</v>
      </c>
      <c r="E86">
        <v>9.7083333333333321</v>
      </c>
      <c r="F86">
        <v>39</v>
      </c>
      <c r="G86">
        <v>13.08333333333333</v>
      </c>
      <c r="H86">
        <v>14.08333333333333</v>
      </c>
      <c r="I86">
        <v>5.083333333333333</v>
      </c>
      <c r="J86">
        <v>0</v>
      </c>
      <c r="K86">
        <v>0</v>
      </c>
      <c r="L86">
        <v>-1</v>
      </c>
      <c r="M86">
        <v>31.186116408550379</v>
      </c>
      <c r="N86">
        <v>34.07259792115142</v>
      </c>
      <c r="O86">
        <v>20.24684771139129</v>
      </c>
      <c r="P86">
        <v>20.826863227983829</v>
      </c>
      <c r="Q86">
        <v>51.432964119941673</v>
      </c>
      <c r="R86">
        <v>39.933697061674579</v>
      </c>
      <c r="S86" t="s">
        <v>29</v>
      </c>
      <c r="T86" t="s">
        <v>30</v>
      </c>
      <c r="U86">
        <v>170</v>
      </c>
      <c r="V86">
        <v>90</v>
      </c>
      <c r="W86" t="s">
        <v>31</v>
      </c>
      <c r="X86">
        <v>1024</v>
      </c>
      <c r="Y86">
        <v>1024</v>
      </c>
      <c r="Z86">
        <v>2400</v>
      </c>
      <c r="AA86">
        <v>85</v>
      </c>
      <c r="AB86" t="s">
        <v>116</v>
      </c>
      <c r="AC86">
        <v>20.71548056602478</v>
      </c>
    </row>
    <row r="87" spans="1:29" x14ac:dyDescent="0.3">
      <c r="A87">
        <v>4.208333333333333</v>
      </c>
      <c r="B87">
        <v>4.625</v>
      </c>
      <c r="C87">
        <v>4.5</v>
      </c>
      <c r="D87">
        <v>4.125</v>
      </c>
      <c r="E87">
        <v>9.25</v>
      </c>
      <c r="F87">
        <v>44.083333333333343</v>
      </c>
      <c r="G87">
        <v>15.29166666666667</v>
      </c>
      <c r="H87">
        <v>13.91666666666667</v>
      </c>
      <c r="I87">
        <v>0</v>
      </c>
      <c r="J87">
        <v>0</v>
      </c>
      <c r="K87">
        <v>0</v>
      </c>
      <c r="L87">
        <v>-1</v>
      </c>
      <c r="M87">
        <v>27.82867260541224</v>
      </c>
      <c r="N87">
        <v>32.578851459285147</v>
      </c>
      <c r="O87">
        <v>13.84356894725429</v>
      </c>
      <c r="P87">
        <v>13.23499631810424</v>
      </c>
      <c r="Q87">
        <v>41.672241552666527</v>
      </c>
      <c r="R87">
        <v>35.164565829061488</v>
      </c>
      <c r="S87" t="s">
        <v>29</v>
      </c>
      <c r="T87" t="s">
        <v>30</v>
      </c>
      <c r="U87">
        <v>170</v>
      </c>
      <c r="V87">
        <v>90</v>
      </c>
      <c r="W87" t="s">
        <v>31</v>
      </c>
      <c r="X87">
        <v>1024</v>
      </c>
      <c r="Y87">
        <v>1024</v>
      </c>
      <c r="Z87">
        <v>2400</v>
      </c>
      <c r="AA87">
        <v>86</v>
      </c>
      <c r="AB87" t="s">
        <v>117</v>
      </c>
      <c r="AC87">
        <v>20.678625822067261</v>
      </c>
    </row>
    <row r="88" spans="1:29" x14ac:dyDescent="0.3">
      <c r="A88">
        <v>5</v>
      </c>
      <c r="B88">
        <v>5.416666666666667</v>
      </c>
      <c r="C88">
        <v>5.458333333333333</v>
      </c>
      <c r="D88">
        <v>3.75</v>
      </c>
      <c r="E88">
        <v>10.29166666666667</v>
      </c>
      <c r="F88">
        <v>38.291666666666671</v>
      </c>
      <c r="G88">
        <v>18.5</v>
      </c>
      <c r="H88">
        <v>11.75</v>
      </c>
      <c r="I88">
        <v>1.541666666666667</v>
      </c>
      <c r="J88">
        <v>0</v>
      </c>
      <c r="K88">
        <v>0</v>
      </c>
      <c r="L88">
        <v>-1</v>
      </c>
      <c r="M88">
        <v>30.81626885675492</v>
      </c>
      <c r="N88">
        <v>33.34681679402857</v>
      </c>
      <c r="O88">
        <v>15.97234743041243</v>
      </c>
      <c r="P88">
        <v>16.35268832622798</v>
      </c>
      <c r="Q88">
        <v>46.788616287167358</v>
      </c>
      <c r="R88">
        <v>37.14055203937145</v>
      </c>
      <c r="S88" t="s">
        <v>29</v>
      </c>
      <c r="T88" t="s">
        <v>30</v>
      </c>
      <c r="U88">
        <v>170</v>
      </c>
      <c r="V88">
        <v>90</v>
      </c>
      <c r="W88" t="s">
        <v>31</v>
      </c>
      <c r="X88">
        <v>1024</v>
      </c>
      <c r="Y88">
        <v>1024</v>
      </c>
      <c r="Z88">
        <v>2400</v>
      </c>
      <c r="AA88">
        <v>87</v>
      </c>
      <c r="AB88" t="s">
        <v>118</v>
      </c>
      <c r="AC88">
        <v>20.78920483589172</v>
      </c>
    </row>
    <row r="89" spans="1:29" x14ac:dyDescent="0.3">
      <c r="A89">
        <v>10.04166666666667</v>
      </c>
      <c r="B89">
        <v>5.2083333333333339</v>
      </c>
      <c r="C89">
        <v>3.416666666666667</v>
      </c>
      <c r="D89">
        <v>4.583333333333333</v>
      </c>
      <c r="E89">
        <v>8.1666666666666661</v>
      </c>
      <c r="F89">
        <v>41.125</v>
      </c>
      <c r="G89">
        <v>12</v>
      </c>
      <c r="H89">
        <v>13.79166666666667</v>
      </c>
      <c r="I89">
        <v>1.666666666666667</v>
      </c>
      <c r="J89">
        <v>0</v>
      </c>
      <c r="K89">
        <v>0</v>
      </c>
      <c r="L89">
        <v>-0.96925247778001156</v>
      </c>
      <c r="M89">
        <v>41.465196376774678</v>
      </c>
      <c r="N89">
        <v>39.207201863639249</v>
      </c>
      <c r="O89">
        <v>14.281722441332249</v>
      </c>
      <c r="P89">
        <v>15.5629552453694</v>
      </c>
      <c r="Q89">
        <v>55.746918818106927</v>
      </c>
      <c r="R89">
        <v>42.183056479415143</v>
      </c>
      <c r="S89" t="s">
        <v>29</v>
      </c>
      <c r="T89" t="s">
        <v>30</v>
      </c>
      <c r="U89">
        <v>170</v>
      </c>
      <c r="V89">
        <v>90</v>
      </c>
      <c r="W89" t="s">
        <v>31</v>
      </c>
      <c r="X89">
        <v>1024</v>
      </c>
      <c r="Y89">
        <v>1024</v>
      </c>
      <c r="Z89">
        <v>2400</v>
      </c>
      <c r="AA89">
        <v>88</v>
      </c>
      <c r="AB89" t="s">
        <v>119</v>
      </c>
      <c r="AC89">
        <v>20.590971231460571</v>
      </c>
    </row>
    <row r="90" spans="1:29" x14ac:dyDescent="0.3">
      <c r="A90">
        <v>3.833333333333333</v>
      </c>
      <c r="B90">
        <v>4.708333333333333</v>
      </c>
      <c r="C90">
        <v>6.166666666666667</v>
      </c>
      <c r="D90">
        <v>6.041666666666667</v>
      </c>
      <c r="E90">
        <v>9.75</v>
      </c>
      <c r="F90">
        <v>39</v>
      </c>
      <c r="G90">
        <v>16.791666666666661</v>
      </c>
      <c r="H90">
        <v>13.70833333333333</v>
      </c>
      <c r="I90">
        <v>0</v>
      </c>
      <c r="J90">
        <v>0</v>
      </c>
      <c r="K90">
        <v>0</v>
      </c>
      <c r="L90">
        <v>-1</v>
      </c>
      <c r="M90">
        <v>30.68935004947636</v>
      </c>
      <c r="N90">
        <v>31.520666033001529</v>
      </c>
      <c r="O90">
        <v>14.12544711727471</v>
      </c>
      <c r="P90">
        <v>13.448701080763231</v>
      </c>
      <c r="Q90">
        <v>44.81479716675107</v>
      </c>
      <c r="R90">
        <v>34.269811028421763</v>
      </c>
      <c r="S90" t="s">
        <v>29</v>
      </c>
      <c r="T90" t="s">
        <v>30</v>
      </c>
      <c r="U90">
        <v>170</v>
      </c>
      <c r="V90">
        <v>90</v>
      </c>
      <c r="W90" t="s">
        <v>31</v>
      </c>
      <c r="X90">
        <v>1024</v>
      </c>
      <c r="Y90">
        <v>1024</v>
      </c>
      <c r="Z90">
        <v>2400</v>
      </c>
      <c r="AA90">
        <v>89</v>
      </c>
      <c r="AB90" t="s">
        <v>120</v>
      </c>
      <c r="AC90">
        <v>20.569496393203739</v>
      </c>
    </row>
    <row r="91" spans="1:29" x14ac:dyDescent="0.3">
      <c r="A91">
        <v>5.833333333333333</v>
      </c>
      <c r="B91">
        <v>2.958333333333333</v>
      </c>
      <c r="C91">
        <v>6.208333333333333</v>
      </c>
      <c r="D91">
        <v>6.916666666666667</v>
      </c>
      <c r="E91">
        <v>6.791666666666667</v>
      </c>
      <c r="F91">
        <v>39.458333333333343</v>
      </c>
      <c r="G91">
        <v>14.33333333333333</v>
      </c>
      <c r="H91">
        <v>17.041666666666661</v>
      </c>
      <c r="I91">
        <v>0.45833333333333331</v>
      </c>
      <c r="J91">
        <v>0</v>
      </c>
      <c r="K91">
        <v>0</v>
      </c>
      <c r="L91">
        <v>-1</v>
      </c>
      <c r="M91">
        <v>32.191660141789079</v>
      </c>
      <c r="N91">
        <v>33.38035332635684</v>
      </c>
      <c r="O91">
        <v>17.024179197736359</v>
      </c>
      <c r="P91">
        <v>16.849294801364088</v>
      </c>
      <c r="Q91">
        <v>49.215839339525438</v>
      </c>
      <c r="R91">
        <v>37.391800217369813</v>
      </c>
      <c r="S91" t="s">
        <v>29</v>
      </c>
      <c r="T91" t="s">
        <v>30</v>
      </c>
      <c r="U91">
        <v>170</v>
      </c>
      <c r="V91">
        <v>90</v>
      </c>
      <c r="W91" t="s">
        <v>31</v>
      </c>
      <c r="X91">
        <v>1024</v>
      </c>
      <c r="Y91">
        <v>1024</v>
      </c>
      <c r="Z91">
        <v>2400</v>
      </c>
      <c r="AA91">
        <v>90</v>
      </c>
      <c r="AB91" t="s">
        <v>121</v>
      </c>
      <c r="AC91">
        <v>20.901005029678341</v>
      </c>
    </row>
    <row r="92" spans="1:29" x14ac:dyDescent="0.3">
      <c r="A92">
        <v>2.5</v>
      </c>
      <c r="B92">
        <v>5.416666666666667</v>
      </c>
      <c r="C92">
        <v>7.7916666666666661</v>
      </c>
      <c r="D92">
        <v>6</v>
      </c>
      <c r="E92">
        <v>8.375</v>
      </c>
      <c r="F92">
        <v>43.583333333333343</v>
      </c>
      <c r="G92">
        <v>16.75</v>
      </c>
      <c r="H92">
        <v>7.7916666666666661</v>
      </c>
      <c r="I92">
        <v>1.791666666666667</v>
      </c>
      <c r="J92">
        <v>0</v>
      </c>
      <c r="K92">
        <v>0</v>
      </c>
      <c r="L92">
        <v>-1</v>
      </c>
      <c r="M92">
        <v>28.309287710039179</v>
      </c>
      <c r="N92">
        <v>29.62647299293425</v>
      </c>
      <c r="O92">
        <v>12.757546411818121</v>
      </c>
      <c r="P92">
        <v>15.491509084916011</v>
      </c>
      <c r="Q92">
        <v>41.066834121857298</v>
      </c>
      <c r="R92">
        <v>33.432241260931008</v>
      </c>
      <c r="S92" t="s">
        <v>29</v>
      </c>
      <c r="T92" t="s">
        <v>30</v>
      </c>
      <c r="U92">
        <v>170</v>
      </c>
      <c r="V92">
        <v>90</v>
      </c>
      <c r="W92" t="s">
        <v>31</v>
      </c>
      <c r="X92">
        <v>1024</v>
      </c>
      <c r="Y92">
        <v>1024</v>
      </c>
      <c r="Z92">
        <v>2400</v>
      </c>
      <c r="AA92">
        <v>91</v>
      </c>
      <c r="AB92" t="s">
        <v>122</v>
      </c>
      <c r="AC92">
        <v>20.703025579452511</v>
      </c>
    </row>
    <row r="93" spans="1:29" x14ac:dyDescent="0.3">
      <c r="A93">
        <v>2.833333333333333</v>
      </c>
      <c r="B93">
        <v>3.041666666666667</v>
      </c>
      <c r="C93">
        <v>4.75</v>
      </c>
      <c r="D93">
        <v>5.25</v>
      </c>
      <c r="E93">
        <v>10.875</v>
      </c>
      <c r="F93">
        <v>46.208333333333343</v>
      </c>
      <c r="G93">
        <v>14.83333333333333</v>
      </c>
      <c r="H93">
        <v>12.20833333333333</v>
      </c>
      <c r="I93">
        <v>0</v>
      </c>
      <c r="J93">
        <v>0</v>
      </c>
      <c r="K93">
        <v>0</v>
      </c>
      <c r="L93">
        <v>-0.53516301339706485</v>
      </c>
      <c r="M93">
        <v>24.259523593870199</v>
      </c>
      <c r="N93">
        <v>28.65563231268353</v>
      </c>
      <c r="O93">
        <v>12.005768174079</v>
      </c>
      <c r="P93">
        <v>12.48095271703586</v>
      </c>
      <c r="Q93">
        <v>36.265291767949201</v>
      </c>
      <c r="R93">
        <v>31.25571058166167</v>
      </c>
      <c r="S93" t="s">
        <v>29</v>
      </c>
      <c r="T93" t="s">
        <v>30</v>
      </c>
      <c r="U93">
        <v>170</v>
      </c>
      <c r="V93">
        <v>90</v>
      </c>
      <c r="W93" t="s">
        <v>31</v>
      </c>
      <c r="X93">
        <v>1024</v>
      </c>
      <c r="Y93">
        <v>1024</v>
      </c>
      <c r="Z93">
        <v>2400</v>
      </c>
      <c r="AA93">
        <v>92</v>
      </c>
      <c r="AB93" t="s">
        <v>123</v>
      </c>
      <c r="AC93">
        <v>20.779899597167969</v>
      </c>
    </row>
    <row r="94" spans="1:29" x14ac:dyDescent="0.3">
      <c r="A94">
        <v>6.5416666666666661</v>
      </c>
      <c r="B94">
        <v>4.666666666666667</v>
      </c>
      <c r="C94">
        <v>3.791666666666667</v>
      </c>
      <c r="D94">
        <v>3.083333333333333</v>
      </c>
      <c r="E94">
        <v>11.25</v>
      </c>
      <c r="F94">
        <v>34.583333333333343</v>
      </c>
      <c r="G94">
        <v>18.333333333333329</v>
      </c>
      <c r="H94">
        <v>15.54166666666667</v>
      </c>
      <c r="I94">
        <v>2.208333333333333</v>
      </c>
      <c r="J94">
        <v>0</v>
      </c>
      <c r="K94">
        <v>0</v>
      </c>
      <c r="L94">
        <v>-1</v>
      </c>
      <c r="M94">
        <v>33.90408604573463</v>
      </c>
      <c r="N94">
        <v>35.905516802014702</v>
      </c>
      <c r="O94">
        <v>17.47364076270534</v>
      </c>
      <c r="P94">
        <v>16.538410465085249</v>
      </c>
      <c r="Q94">
        <v>51.377726808439967</v>
      </c>
      <c r="R94">
        <v>39.53131869203709</v>
      </c>
      <c r="S94" t="s">
        <v>29</v>
      </c>
      <c r="T94" t="s">
        <v>30</v>
      </c>
      <c r="U94">
        <v>170</v>
      </c>
      <c r="V94">
        <v>90</v>
      </c>
      <c r="W94" t="s">
        <v>31</v>
      </c>
      <c r="X94">
        <v>1024</v>
      </c>
      <c r="Y94">
        <v>1024</v>
      </c>
      <c r="Z94">
        <v>2400</v>
      </c>
      <c r="AA94">
        <v>93</v>
      </c>
      <c r="AB94" t="s">
        <v>124</v>
      </c>
      <c r="AC94">
        <v>20.646089315414429</v>
      </c>
    </row>
    <row r="95" spans="1:29" x14ac:dyDescent="0.3">
      <c r="A95">
        <v>3.833333333333333</v>
      </c>
      <c r="B95">
        <v>2.958333333333333</v>
      </c>
      <c r="C95">
        <v>4.208333333333333</v>
      </c>
      <c r="D95">
        <v>5.75</v>
      </c>
      <c r="E95">
        <v>10.95833333333333</v>
      </c>
      <c r="F95">
        <v>43.083333333333343</v>
      </c>
      <c r="G95">
        <v>19.708333333333329</v>
      </c>
      <c r="H95">
        <v>9.5</v>
      </c>
      <c r="I95">
        <v>0</v>
      </c>
      <c r="J95">
        <v>0</v>
      </c>
      <c r="K95">
        <v>0</v>
      </c>
      <c r="L95">
        <v>-1</v>
      </c>
      <c r="M95">
        <v>25.27944212231278</v>
      </c>
      <c r="N95">
        <v>30.295596165132881</v>
      </c>
      <c r="O95">
        <v>12.11646424454721</v>
      </c>
      <c r="P95">
        <v>11.222513731820539</v>
      </c>
      <c r="Q95">
        <v>37.39590636685999</v>
      </c>
      <c r="R95">
        <v>32.307397937031617</v>
      </c>
      <c r="S95" t="s">
        <v>29</v>
      </c>
      <c r="T95" t="s">
        <v>30</v>
      </c>
      <c r="U95">
        <v>170</v>
      </c>
      <c r="V95">
        <v>90</v>
      </c>
      <c r="W95" t="s">
        <v>31</v>
      </c>
      <c r="X95">
        <v>1024</v>
      </c>
      <c r="Y95">
        <v>1024</v>
      </c>
      <c r="Z95">
        <v>2400</v>
      </c>
      <c r="AA95">
        <v>94</v>
      </c>
      <c r="AB95" t="s">
        <v>125</v>
      </c>
      <c r="AC95">
        <v>20.60034871101379</v>
      </c>
    </row>
    <row r="96" spans="1:29" x14ac:dyDescent="0.3">
      <c r="A96">
        <v>3.75</v>
      </c>
      <c r="B96">
        <v>5.708333333333333</v>
      </c>
      <c r="C96">
        <v>7.0000000000000009</v>
      </c>
      <c r="D96">
        <v>5.291666666666667</v>
      </c>
      <c r="E96">
        <v>8.5416666666666661</v>
      </c>
      <c r="F96">
        <v>38.541666666666671</v>
      </c>
      <c r="G96">
        <v>20.458333333333339</v>
      </c>
      <c r="H96">
        <v>10.70833333333333</v>
      </c>
      <c r="I96">
        <v>0</v>
      </c>
      <c r="J96">
        <v>0</v>
      </c>
      <c r="K96">
        <v>0</v>
      </c>
      <c r="L96">
        <v>0.93278338891306878</v>
      </c>
      <c r="M96">
        <v>32.599835108397883</v>
      </c>
      <c r="N96">
        <v>31.971047400650129</v>
      </c>
      <c r="O96">
        <v>13.03956989479939</v>
      </c>
      <c r="P96">
        <v>12.491916811485099</v>
      </c>
      <c r="Q96">
        <v>45.639405003197261</v>
      </c>
      <c r="R96">
        <v>34.324857720312281</v>
      </c>
      <c r="S96" t="s">
        <v>29</v>
      </c>
      <c r="T96" t="s">
        <v>30</v>
      </c>
      <c r="U96">
        <v>170</v>
      </c>
      <c r="V96">
        <v>90</v>
      </c>
      <c r="W96" t="s">
        <v>31</v>
      </c>
      <c r="X96">
        <v>1024</v>
      </c>
      <c r="Y96">
        <v>1024</v>
      </c>
      <c r="Z96">
        <v>2400</v>
      </c>
      <c r="AA96">
        <v>95</v>
      </c>
      <c r="AB96" t="s">
        <v>126</v>
      </c>
      <c r="AC96">
        <v>20.71648287773132</v>
      </c>
    </row>
    <row r="97" spans="1:29" x14ac:dyDescent="0.3">
      <c r="A97">
        <v>10.20833333333333</v>
      </c>
      <c r="B97">
        <v>3.958333333333333</v>
      </c>
      <c r="C97">
        <v>3.25</v>
      </c>
      <c r="D97">
        <v>4.708333333333333</v>
      </c>
      <c r="E97">
        <v>10.04166666666667</v>
      </c>
      <c r="F97">
        <v>35.666666666666671</v>
      </c>
      <c r="G97">
        <v>17.083333333333329</v>
      </c>
      <c r="H97">
        <v>15.08333333333333</v>
      </c>
      <c r="I97">
        <v>0</v>
      </c>
      <c r="J97">
        <v>0</v>
      </c>
      <c r="K97">
        <v>0</v>
      </c>
      <c r="L97">
        <v>-1</v>
      </c>
      <c r="M97">
        <v>36.9138535615444</v>
      </c>
      <c r="N97">
        <v>38.814892240670453</v>
      </c>
      <c r="O97">
        <v>15.80144724236691</v>
      </c>
      <c r="P97">
        <v>13.96909792901288</v>
      </c>
      <c r="Q97">
        <v>52.715300803911298</v>
      </c>
      <c r="R97">
        <v>41.252049120076578</v>
      </c>
      <c r="S97" t="s">
        <v>29</v>
      </c>
      <c r="T97" t="s">
        <v>30</v>
      </c>
      <c r="U97">
        <v>170</v>
      </c>
      <c r="V97">
        <v>90</v>
      </c>
      <c r="W97" t="s">
        <v>31</v>
      </c>
      <c r="X97">
        <v>1024</v>
      </c>
      <c r="Y97">
        <v>1024</v>
      </c>
      <c r="Z97">
        <v>2400</v>
      </c>
      <c r="AA97">
        <v>96</v>
      </c>
      <c r="AB97" t="s">
        <v>127</v>
      </c>
      <c r="AC97">
        <v>20.6923987865448</v>
      </c>
    </row>
    <row r="98" spans="1:29" x14ac:dyDescent="0.3">
      <c r="A98">
        <v>4</v>
      </c>
      <c r="B98">
        <v>3.25</v>
      </c>
      <c r="C98">
        <v>5.625</v>
      </c>
      <c r="D98">
        <v>5.166666666666667</v>
      </c>
      <c r="E98">
        <v>8.0416666666666661</v>
      </c>
      <c r="F98">
        <v>43.875</v>
      </c>
      <c r="G98">
        <v>17.166666666666671</v>
      </c>
      <c r="H98">
        <v>9.1666666666666661</v>
      </c>
      <c r="I98">
        <v>2.416666666666667</v>
      </c>
      <c r="J98">
        <v>1.291666666666667</v>
      </c>
      <c r="K98">
        <v>0</v>
      </c>
      <c r="L98">
        <v>-1</v>
      </c>
      <c r="M98">
        <v>26.140549919812411</v>
      </c>
      <c r="N98">
        <v>31.25639298141137</v>
      </c>
      <c r="O98">
        <v>16.237548959437991</v>
      </c>
      <c r="P98">
        <v>19.11354364991864</v>
      </c>
      <c r="Q98">
        <v>42.378098879250402</v>
      </c>
      <c r="R98">
        <v>36.637271364906077</v>
      </c>
      <c r="S98" t="s">
        <v>29</v>
      </c>
      <c r="T98" t="s">
        <v>30</v>
      </c>
      <c r="U98">
        <v>170</v>
      </c>
      <c r="V98">
        <v>90</v>
      </c>
      <c r="W98" t="s">
        <v>31</v>
      </c>
      <c r="X98">
        <v>1024</v>
      </c>
      <c r="Y98">
        <v>1024</v>
      </c>
      <c r="Z98">
        <v>2400</v>
      </c>
      <c r="AA98">
        <v>97</v>
      </c>
      <c r="AB98" t="s">
        <v>128</v>
      </c>
      <c r="AC98">
        <v>20.813624382019039</v>
      </c>
    </row>
    <row r="99" spans="1:29" x14ac:dyDescent="0.3">
      <c r="A99">
        <v>5.708333333333333</v>
      </c>
      <c r="B99">
        <v>6.125</v>
      </c>
      <c r="C99">
        <v>4.3333333333333339</v>
      </c>
      <c r="D99">
        <v>4.5</v>
      </c>
      <c r="E99">
        <v>7.208333333333333</v>
      </c>
      <c r="F99">
        <v>39.041666666666671</v>
      </c>
      <c r="G99">
        <v>15.29166666666667</v>
      </c>
      <c r="H99">
        <v>17.25</v>
      </c>
      <c r="I99">
        <v>0.54166666666666674</v>
      </c>
      <c r="J99">
        <v>0</v>
      </c>
      <c r="K99">
        <v>0</v>
      </c>
      <c r="L99">
        <v>-1</v>
      </c>
      <c r="M99">
        <v>35.74058253000338</v>
      </c>
      <c r="N99">
        <v>36.051888681868618</v>
      </c>
      <c r="O99">
        <v>15.96942735395543</v>
      </c>
      <c r="P99">
        <v>15.480056432804959</v>
      </c>
      <c r="Q99">
        <v>51.710009883958797</v>
      </c>
      <c r="R99">
        <v>39.23481648603282</v>
      </c>
      <c r="S99" t="s">
        <v>29</v>
      </c>
      <c r="T99" t="s">
        <v>30</v>
      </c>
      <c r="U99">
        <v>170</v>
      </c>
      <c r="V99">
        <v>90</v>
      </c>
      <c r="W99" t="s">
        <v>31</v>
      </c>
      <c r="X99">
        <v>1024</v>
      </c>
      <c r="Y99">
        <v>1024</v>
      </c>
      <c r="Z99">
        <v>2400</v>
      </c>
      <c r="AA99">
        <v>98</v>
      </c>
      <c r="AB99" t="s">
        <v>129</v>
      </c>
      <c r="AC99">
        <v>21.098841190338131</v>
      </c>
    </row>
    <row r="100" spans="1:29" x14ac:dyDescent="0.3">
      <c r="A100">
        <v>5.0416666666666661</v>
      </c>
      <c r="B100">
        <v>5.9583333333333339</v>
      </c>
      <c r="C100">
        <v>5.2083333333333339</v>
      </c>
      <c r="D100">
        <v>5.875</v>
      </c>
      <c r="E100">
        <v>8.9583333333333339</v>
      </c>
      <c r="F100">
        <v>43</v>
      </c>
      <c r="G100">
        <v>15.875</v>
      </c>
      <c r="H100">
        <v>8.75</v>
      </c>
      <c r="I100">
        <v>1.333333333333333</v>
      </c>
      <c r="J100">
        <v>0</v>
      </c>
      <c r="K100">
        <v>0</v>
      </c>
      <c r="L100">
        <v>-1</v>
      </c>
      <c r="M100">
        <v>31.66217432535386</v>
      </c>
      <c r="N100">
        <v>33.377749877904463</v>
      </c>
      <c r="O100">
        <v>13.339918191653121</v>
      </c>
      <c r="P100">
        <v>15.009234404441271</v>
      </c>
      <c r="Q100">
        <v>45.002092517006993</v>
      </c>
      <c r="R100">
        <v>36.597148855059928</v>
      </c>
      <c r="S100" t="s">
        <v>29</v>
      </c>
      <c r="T100" t="s">
        <v>30</v>
      </c>
      <c r="U100">
        <v>170</v>
      </c>
      <c r="V100">
        <v>90</v>
      </c>
      <c r="W100" t="s">
        <v>31</v>
      </c>
      <c r="X100">
        <v>1024</v>
      </c>
      <c r="Y100">
        <v>1024</v>
      </c>
      <c r="Z100">
        <v>2400</v>
      </c>
      <c r="AA100">
        <v>99</v>
      </c>
      <c r="AB100" t="s">
        <v>130</v>
      </c>
      <c r="AC100">
        <v>20.656226634979252</v>
      </c>
    </row>
    <row r="101" spans="1:29" x14ac:dyDescent="0.3">
      <c r="A101">
        <v>3.833333333333333</v>
      </c>
      <c r="B101">
        <v>3.416666666666667</v>
      </c>
      <c r="C101">
        <v>4.5</v>
      </c>
      <c r="D101">
        <v>5.75</v>
      </c>
      <c r="E101">
        <v>13.95833333333333</v>
      </c>
      <c r="F101">
        <v>42.916666666666657</v>
      </c>
      <c r="G101">
        <v>13.25</v>
      </c>
      <c r="H101">
        <v>11</v>
      </c>
      <c r="I101">
        <v>1.375</v>
      </c>
      <c r="J101">
        <v>0</v>
      </c>
      <c r="K101">
        <v>0</v>
      </c>
      <c r="L101">
        <v>-1</v>
      </c>
      <c r="M101">
        <v>25.773541632204541</v>
      </c>
      <c r="N101">
        <v>29.71201206368508</v>
      </c>
      <c r="O101">
        <v>14.348576911739389</v>
      </c>
      <c r="P101">
        <v>16.217330793730689</v>
      </c>
      <c r="Q101">
        <v>40.122118543943927</v>
      </c>
      <c r="R101">
        <v>33.849748580245809</v>
      </c>
      <c r="S101" t="s">
        <v>29</v>
      </c>
      <c r="T101" t="s">
        <v>30</v>
      </c>
      <c r="U101">
        <v>170</v>
      </c>
      <c r="V101">
        <v>90</v>
      </c>
      <c r="W101" t="s">
        <v>31</v>
      </c>
      <c r="X101">
        <v>1024</v>
      </c>
      <c r="Y101">
        <v>1024</v>
      </c>
      <c r="Z101">
        <v>2400</v>
      </c>
      <c r="AA101">
        <v>100</v>
      </c>
      <c r="AB101" t="s">
        <v>131</v>
      </c>
      <c r="AC101">
        <v>20.48268818855286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8"/>
  <sheetViews>
    <sheetView tabSelected="1" topLeftCell="L1" workbookViewId="0">
      <selection activeCell="L28" sqref="L28"/>
    </sheetView>
  </sheetViews>
  <sheetFormatPr defaultRowHeight="14.4" x14ac:dyDescent="0.3"/>
  <cols>
    <col min="1" max="1" width="14" bestFit="1" customWidth="1"/>
    <col min="2" max="2" width="16" bestFit="1" customWidth="1"/>
    <col min="3" max="3" width="16.21875" bestFit="1" customWidth="1"/>
    <col min="4" max="4" width="15" bestFit="1" customWidth="1"/>
    <col min="5" max="5" width="15.21875" bestFit="1" customWidth="1"/>
    <col min="6" max="6" width="16.21875" bestFit="1" customWidth="1"/>
    <col min="7" max="7" width="16.44140625" bestFit="1" customWidth="1"/>
    <col min="8" max="8" width="16.5546875" bestFit="1" customWidth="1"/>
    <col min="9" max="9" width="16.77734375" bestFit="1" customWidth="1"/>
    <col min="10" max="11" width="12" bestFit="1" customWidth="1"/>
    <col min="12" max="12" width="17.44140625" bestFit="1" customWidth="1"/>
    <col min="13" max="13" width="17.6640625" bestFit="1" customWidth="1"/>
    <col min="14" max="15" width="12" bestFit="1" customWidth="1"/>
    <col min="16" max="16" width="17.21875" bestFit="1" customWidth="1"/>
    <col min="17" max="17" width="17.44140625" bestFit="1" customWidth="1"/>
    <col min="18" max="18" width="16.77734375" bestFit="1" customWidth="1"/>
    <col min="19" max="19" width="17" bestFit="1" customWidth="1"/>
    <col min="20" max="20" width="15.5546875" bestFit="1" customWidth="1"/>
    <col min="21" max="21" width="15.77734375" bestFit="1" customWidth="1"/>
    <col min="22" max="22" width="16.5546875" bestFit="1" customWidth="1"/>
    <col min="23" max="23" width="16.77734375" bestFit="1" customWidth="1"/>
    <col min="24" max="24" width="12.6640625" bestFit="1" customWidth="1"/>
    <col min="25" max="25" width="12.33203125" bestFit="1" customWidth="1"/>
    <col min="26" max="26" width="18.44140625" bestFit="1" customWidth="1"/>
    <col min="27" max="27" width="15.33203125" bestFit="1" customWidth="1"/>
    <col min="28" max="28" width="18.77734375" bestFit="1" customWidth="1"/>
    <col min="29" max="29" width="15.6640625" bestFit="1" customWidth="1"/>
    <col min="30" max="30" width="16.21875" bestFit="1" customWidth="1"/>
    <col min="31" max="31" width="13.21875" bestFit="1" customWidth="1"/>
    <col min="32" max="32" width="12.88671875" bestFit="1" customWidth="1"/>
    <col min="33" max="33" width="12.33203125" bestFit="1" customWidth="1"/>
    <col min="34" max="34" width="14.77734375" bestFit="1" customWidth="1"/>
    <col min="35" max="35" width="14.21875" bestFit="1" customWidth="1"/>
    <col min="36" max="36" width="9.21875" bestFit="1" customWidth="1"/>
    <col min="37" max="37" width="18.6640625" bestFit="1" customWidth="1"/>
    <col min="38" max="38" width="13.88671875" bestFit="1" customWidth="1"/>
    <col min="39" max="39" width="16.109375" bestFit="1" customWidth="1"/>
    <col min="40" max="40" width="12.6640625" bestFit="1" customWidth="1"/>
    <col min="41" max="41" width="17.33203125" bestFit="1" customWidth="1"/>
    <col min="42" max="42" width="18.109375" bestFit="1" customWidth="1"/>
  </cols>
  <sheetData>
    <row r="1" spans="1:42" x14ac:dyDescent="0.3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163</v>
      </c>
      <c r="AG1" s="1" t="s">
        <v>164</v>
      </c>
      <c r="AH1" s="1" t="s">
        <v>165</v>
      </c>
      <c r="AI1" s="1" t="s">
        <v>166</v>
      </c>
      <c r="AJ1" s="1" t="s">
        <v>167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27</v>
      </c>
      <c r="AP1" s="1" t="s">
        <v>168</v>
      </c>
    </row>
    <row r="2" spans="1:42" x14ac:dyDescent="0.3">
      <c r="A2" t="s">
        <v>169</v>
      </c>
      <c r="B2">
        <v>0</v>
      </c>
      <c r="C2">
        <v>0</v>
      </c>
      <c r="D2">
        <v>0</v>
      </c>
      <c r="E2">
        <v>0</v>
      </c>
      <c r="F2">
        <v>6.6666666666666671E-3</v>
      </c>
      <c r="G2">
        <v>3.7324223275208873E-2</v>
      </c>
      <c r="H2">
        <v>0.10375</v>
      </c>
      <c r="I2">
        <v>0.1858201970263072</v>
      </c>
      <c r="J2">
        <v>2.8875000000000002</v>
      </c>
      <c r="K2">
        <v>1.621467281440222</v>
      </c>
      <c r="L2">
        <v>90.529583333333335</v>
      </c>
      <c r="M2">
        <v>3.9210712705599118</v>
      </c>
      <c r="N2">
        <v>6.34375</v>
      </c>
      <c r="O2">
        <v>2.805264105023586</v>
      </c>
      <c r="P2">
        <v>0.12875</v>
      </c>
      <c r="Q2">
        <v>0.43712786802931741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0.3771917053194716</v>
      </c>
      <c r="Y2">
        <v>0.58956836967561566</v>
      </c>
      <c r="Z2">
        <v>2.4115728706579169</v>
      </c>
      <c r="AA2">
        <v>8.8341087569337548E-2</v>
      </c>
      <c r="AB2">
        <v>3.1843382494884511</v>
      </c>
      <c r="AC2">
        <v>8.2303288562822832E-2</v>
      </c>
      <c r="AD2">
        <v>5.5959111201463676</v>
      </c>
      <c r="AE2">
        <v>9.3720423457285401E-2</v>
      </c>
      <c r="AF2" t="s">
        <v>170</v>
      </c>
      <c r="AG2" t="s">
        <v>30</v>
      </c>
      <c r="AH2">
        <v>165</v>
      </c>
      <c r="AI2">
        <v>90</v>
      </c>
      <c r="AJ2">
        <v>100</v>
      </c>
      <c r="AK2" t="s">
        <v>31</v>
      </c>
      <c r="AL2">
        <v>1024</v>
      </c>
      <c r="AM2">
        <v>1024</v>
      </c>
      <c r="AN2">
        <v>2400</v>
      </c>
      <c r="AO2" t="s">
        <v>171</v>
      </c>
      <c r="AP2" s="2">
        <v>44624</v>
      </c>
    </row>
    <row r="3" spans="1:42" x14ac:dyDescent="0.3">
      <c r="A3" t="s">
        <v>172</v>
      </c>
      <c r="B3">
        <v>2.208333333333334E-2</v>
      </c>
      <c r="C3">
        <v>8.9120397699938972E-2</v>
      </c>
      <c r="D3">
        <v>5.5E-2</v>
      </c>
      <c r="E3">
        <v>0.1173859500939583</v>
      </c>
      <c r="F3">
        <v>0.41708333333333342</v>
      </c>
      <c r="G3">
        <v>0.43842574815380081</v>
      </c>
      <c r="H3">
        <v>1.2729166666666669</v>
      </c>
      <c r="I3">
        <v>0.78802269187304896</v>
      </c>
      <c r="J3">
        <v>6.5254166666666666</v>
      </c>
      <c r="K3">
        <v>1.5447279983689699</v>
      </c>
      <c r="L3">
        <v>42.457500000000003</v>
      </c>
      <c r="M3">
        <v>4.2844832169805622</v>
      </c>
      <c r="N3">
        <v>16.061250000000001</v>
      </c>
      <c r="O3">
        <v>3.539447487548812</v>
      </c>
      <c r="P3">
        <v>25.376666666666669</v>
      </c>
      <c r="Q3">
        <v>3.9375157883637639</v>
      </c>
      <c r="R3">
        <v>6.2612500000000004</v>
      </c>
      <c r="S3">
        <v>3.393909051786117</v>
      </c>
      <c r="T3">
        <v>1.344583333333333</v>
      </c>
      <c r="U3">
        <v>1.6550505869266341</v>
      </c>
      <c r="V3">
        <v>0.20624999999999999</v>
      </c>
      <c r="W3">
        <v>0.66746519411392191</v>
      </c>
      <c r="X3">
        <v>-0.79089838588893024</v>
      </c>
      <c r="Y3">
        <v>0.47460664461655278</v>
      </c>
      <c r="Z3">
        <v>7.0006214361220618</v>
      </c>
      <c r="AA3">
        <v>0.2789937553090861</v>
      </c>
      <c r="AB3">
        <v>24.692040466155611</v>
      </c>
      <c r="AC3">
        <v>0.30369176606997189</v>
      </c>
      <c r="AD3">
        <v>31.692661902277671</v>
      </c>
      <c r="AE3">
        <v>0.2992420820139548</v>
      </c>
      <c r="AF3" t="s">
        <v>29</v>
      </c>
      <c r="AG3" t="s">
        <v>173</v>
      </c>
      <c r="AH3">
        <v>170</v>
      </c>
      <c r="AI3">
        <v>90</v>
      </c>
      <c r="AJ3">
        <v>100</v>
      </c>
      <c r="AK3" t="s">
        <v>31</v>
      </c>
      <c r="AL3">
        <v>1024</v>
      </c>
      <c r="AM3">
        <v>1024</v>
      </c>
      <c r="AN3">
        <v>2400</v>
      </c>
      <c r="AO3" t="s">
        <v>171</v>
      </c>
      <c r="AP3" s="2">
        <v>44624</v>
      </c>
    </row>
    <row r="4" spans="1:42" x14ac:dyDescent="0.3">
      <c r="A4" t="s">
        <v>174</v>
      </c>
      <c r="B4">
        <v>23.55916666666667</v>
      </c>
      <c r="C4">
        <v>23.398768262472661</v>
      </c>
      <c r="D4">
        <v>5.2970833333333331</v>
      </c>
      <c r="E4">
        <v>1.444221707282769</v>
      </c>
      <c r="F4">
        <v>4.7087500000000002</v>
      </c>
      <c r="G4">
        <v>1.734868191447041</v>
      </c>
      <c r="H4">
        <v>4.3166666666666664</v>
      </c>
      <c r="I4">
        <v>1.703249600951821</v>
      </c>
      <c r="J4">
        <v>8.2483333333333331</v>
      </c>
      <c r="K4">
        <v>2.9674269823574249</v>
      </c>
      <c r="L4">
        <v>35.423333333333332</v>
      </c>
      <c r="M4">
        <v>11.38654157874897</v>
      </c>
      <c r="N4">
        <v>11.11916666666667</v>
      </c>
      <c r="O4">
        <v>4.5288079791000238</v>
      </c>
      <c r="P4">
        <v>7.1174999999999997</v>
      </c>
      <c r="Q4">
        <v>2.9109153251688769</v>
      </c>
      <c r="R4">
        <v>0.21</v>
      </c>
      <c r="S4">
        <v>0.55832391066977349</v>
      </c>
      <c r="T4">
        <v>0</v>
      </c>
      <c r="U4">
        <v>0</v>
      </c>
      <c r="V4">
        <v>0</v>
      </c>
      <c r="W4">
        <v>0</v>
      </c>
      <c r="X4">
        <v>-0.34409155190045693</v>
      </c>
      <c r="Y4">
        <v>0.81342495440727047</v>
      </c>
      <c r="Z4">
        <v>49.549600647718947</v>
      </c>
      <c r="AA4">
        <v>0.46180566414704333</v>
      </c>
      <c r="AB4">
        <v>11.942845953677731</v>
      </c>
      <c r="AC4">
        <v>0.32120566997831218</v>
      </c>
      <c r="AD4">
        <v>61.492446601396679</v>
      </c>
      <c r="AE4">
        <v>0.38694207601405362</v>
      </c>
      <c r="AF4" t="s">
        <v>175</v>
      </c>
      <c r="AG4" t="s">
        <v>176</v>
      </c>
      <c r="AH4">
        <v>160</v>
      </c>
      <c r="AI4">
        <v>90</v>
      </c>
      <c r="AJ4">
        <v>100</v>
      </c>
      <c r="AK4" t="s">
        <v>31</v>
      </c>
      <c r="AL4">
        <v>1024</v>
      </c>
      <c r="AM4">
        <v>1024</v>
      </c>
      <c r="AN4">
        <v>2400</v>
      </c>
      <c r="AO4" t="s">
        <v>171</v>
      </c>
      <c r="AP4" s="2">
        <v>44624</v>
      </c>
    </row>
    <row r="5" spans="1:42" x14ac:dyDescent="0.3">
      <c r="A5" t="s">
        <v>177</v>
      </c>
      <c r="B5">
        <v>1.809166666666667</v>
      </c>
      <c r="C5">
        <v>1.21329643679794</v>
      </c>
      <c r="D5">
        <v>2.9762499999999998</v>
      </c>
      <c r="E5">
        <v>1.1647449149453859</v>
      </c>
      <c r="F5">
        <v>5.07125</v>
      </c>
      <c r="G5">
        <v>1.416484626351135</v>
      </c>
      <c r="H5">
        <v>5.8937499999999998</v>
      </c>
      <c r="I5">
        <v>1.4078052099844141</v>
      </c>
      <c r="J5">
        <v>11.175416666666671</v>
      </c>
      <c r="K5">
        <v>1.992729269740463</v>
      </c>
      <c r="L5">
        <v>45.207500000000003</v>
      </c>
      <c r="M5">
        <v>4.8408632422756233</v>
      </c>
      <c r="N5">
        <v>16.17583333333333</v>
      </c>
      <c r="O5">
        <v>2.9185154073502022</v>
      </c>
      <c r="P5">
        <v>11.147083333333329</v>
      </c>
      <c r="Q5">
        <v>3.3917774936599709</v>
      </c>
      <c r="R5">
        <v>0.49583333333333329</v>
      </c>
      <c r="S5">
        <v>0.81448593952198611</v>
      </c>
      <c r="T5">
        <v>4.791666666666667E-2</v>
      </c>
      <c r="U5">
        <v>0.25177366055724099</v>
      </c>
      <c r="V5">
        <v>0</v>
      </c>
      <c r="W5">
        <v>0</v>
      </c>
      <c r="X5">
        <v>-0.21868441120402959</v>
      </c>
      <c r="Y5">
        <v>0.83629805362695941</v>
      </c>
      <c r="Z5">
        <v>21.865103584778709</v>
      </c>
      <c r="AA5">
        <v>0.40981108200027022</v>
      </c>
      <c r="AB5">
        <v>13.03943614528699</v>
      </c>
      <c r="AC5">
        <v>0.25978357774216959</v>
      </c>
      <c r="AD5">
        <v>34.904539730065707</v>
      </c>
      <c r="AE5">
        <v>0.37572765783165929</v>
      </c>
      <c r="AF5" t="s">
        <v>29</v>
      </c>
      <c r="AG5" t="s">
        <v>173</v>
      </c>
      <c r="AH5">
        <v>165</v>
      </c>
      <c r="AI5">
        <v>90</v>
      </c>
      <c r="AJ5">
        <v>100</v>
      </c>
      <c r="AK5" t="s">
        <v>31</v>
      </c>
      <c r="AL5">
        <v>1024</v>
      </c>
      <c r="AM5">
        <v>1024</v>
      </c>
      <c r="AN5">
        <v>2400</v>
      </c>
      <c r="AO5" t="s">
        <v>171</v>
      </c>
      <c r="AP5" s="2">
        <v>44624</v>
      </c>
    </row>
    <row r="6" spans="1:42" x14ac:dyDescent="0.3">
      <c r="A6" t="s">
        <v>178</v>
      </c>
      <c r="B6">
        <v>0.10708333333333329</v>
      </c>
      <c r="C6">
        <v>0.23355381298064959</v>
      </c>
      <c r="D6">
        <v>0.45333333333333342</v>
      </c>
      <c r="E6">
        <v>0.40141619389144478</v>
      </c>
      <c r="F6">
        <v>1.9504166666666669</v>
      </c>
      <c r="G6">
        <v>0.9930258878099959</v>
      </c>
      <c r="H6">
        <v>4.4179166666666667</v>
      </c>
      <c r="I6">
        <v>1.2394681884952941</v>
      </c>
      <c r="J6">
        <v>12.151249999999999</v>
      </c>
      <c r="K6">
        <v>1.589541865807176</v>
      </c>
      <c r="L6">
        <v>47.314999999999998</v>
      </c>
      <c r="M6">
        <v>4.3576971453709819</v>
      </c>
      <c r="N6">
        <v>11.58958333333333</v>
      </c>
      <c r="O6">
        <v>1.9652063912508639</v>
      </c>
      <c r="P6">
        <v>16.16333333333333</v>
      </c>
      <c r="Q6">
        <v>2.1225738774704319</v>
      </c>
      <c r="R6">
        <v>4.5824999999999996</v>
      </c>
      <c r="S6">
        <v>1.740474113651739</v>
      </c>
      <c r="T6">
        <v>0.98083333333333333</v>
      </c>
      <c r="U6">
        <v>0.93025247589637483</v>
      </c>
      <c r="V6">
        <v>0.28875000000000001</v>
      </c>
      <c r="W6">
        <v>0.57186462176191277</v>
      </c>
      <c r="X6">
        <v>-0.4652837948661272</v>
      </c>
      <c r="Y6">
        <v>0.75397179887185317</v>
      </c>
      <c r="Z6">
        <v>11.098493921705099</v>
      </c>
      <c r="AA6">
        <v>0.28171514534468489</v>
      </c>
      <c r="AB6">
        <v>22.174625526117239</v>
      </c>
      <c r="AC6">
        <v>0.27178724859315562</v>
      </c>
      <c r="AD6">
        <v>33.273119447822339</v>
      </c>
      <c r="AE6">
        <v>0.30322374291625592</v>
      </c>
      <c r="AF6" t="s">
        <v>29</v>
      </c>
      <c r="AG6" t="s">
        <v>30</v>
      </c>
      <c r="AH6">
        <v>170</v>
      </c>
      <c r="AI6">
        <v>90</v>
      </c>
      <c r="AJ6">
        <v>100</v>
      </c>
      <c r="AK6" t="s">
        <v>31</v>
      </c>
      <c r="AL6">
        <v>1024</v>
      </c>
      <c r="AM6">
        <v>1024</v>
      </c>
      <c r="AN6">
        <v>2400</v>
      </c>
      <c r="AO6" t="s">
        <v>171</v>
      </c>
      <c r="AP6" s="2">
        <v>44624</v>
      </c>
    </row>
    <row r="7" spans="1:42" x14ac:dyDescent="0.3">
      <c r="A7" t="s">
        <v>179</v>
      </c>
      <c r="B7">
        <v>8.3333333333333339E-4</v>
      </c>
      <c r="C7">
        <v>8.333333333333335E-3</v>
      </c>
      <c r="D7">
        <v>0.01</v>
      </c>
      <c r="E7">
        <v>4.9591484914066071E-2</v>
      </c>
      <c r="F7">
        <v>4.0833333333333333E-2</v>
      </c>
      <c r="G7">
        <v>9.9094525721950766E-2</v>
      </c>
      <c r="H7">
        <v>0.36875000000000002</v>
      </c>
      <c r="I7">
        <v>0.35815490624684571</v>
      </c>
      <c r="J7">
        <v>5.5012499999999998</v>
      </c>
      <c r="K7">
        <v>1.547762484334227</v>
      </c>
      <c r="L7">
        <v>69.275416666666672</v>
      </c>
      <c r="M7">
        <v>3.286502336531147</v>
      </c>
      <c r="N7">
        <v>10.71166666666667</v>
      </c>
      <c r="O7">
        <v>1.855852286804559</v>
      </c>
      <c r="P7">
        <v>12.748749999999999</v>
      </c>
      <c r="Q7">
        <v>2.8355943580413219</v>
      </c>
      <c r="R7">
        <v>1.250416666666667</v>
      </c>
      <c r="S7">
        <v>1.23591240883941</v>
      </c>
      <c r="T7">
        <v>9.2083333333333336E-2</v>
      </c>
      <c r="U7">
        <v>0.33508038593639239</v>
      </c>
      <c r="V7">
        <v>0</v>
      </c>
      <c r="W7">
        <v>0</v>
      </c>
      <c r="X7">
        <v>3.8480177387254483E-2</v>
      </c>
      <c r="Y7">
        <v>0.78981840712107632</v>
      </c>
      <c r="Z7">
        <v>3.4999448994785909</v>
      </c>
      <c r="AA7">
        <v>0.1180523713824899</v>
      </c>
      <c r="AB7">
        <v>13.46051959024765</v>
      </c>
      <c r="AC7">
        <v>0.27246809696751401</v>
      </c>
      <c r="AD7">
        <v>16.960464489726249</v>
      </c>
      <c r="AE7">
        <v>0.26732707222962798</v>
      </c>
      <c r="AF7" t="s">
        <v>170</v>
      </c>
      <c r="AG7" t="s">
        <v>30</v>
      </c>
      <c r="AH7">
        <v>160</v>
      </c>
      <c r="AI7">
        <v>90</v>
      </c>
      <c r="AJ7">
        <v>100</v>
      </c>
      <c r="AK7" t="s">
        <v>31</v>
      </c>
      <c r="AL7">
        <v>1024</v>
      </c>
      <c r="AM7">
        <v>1024</v>
      </c>
      <c r="AN7">
        <v>2400</v>
      </c>
      <c r="AO7" t="s">
        <v>171</v>
      </c>
      <c r="AP7" s="2">
        <v>44624</v>
      </c>
    </row>
    <row r="8" spans="1:42" x14ac:dyDescent="0.3">
      <c r="A8" t="s">
        <v>180</v>
      </c>
      <c r="B8">
        <v>6.6666666666666671E-3</v>
      </c>
      <c r="C8">
        <v>3.9158516954247859E-2</v>
      </c>
      <c r="D8">
        <v>2.8750000000000001E-2</v>
      </c>
      <c r="E8">
        <v>7.5771147774181397E-2</v>
      </c>
      <c r="F8">
        <v>0.26208333333333328</v>
      </c>
      <c r="G8">
        <v>0.32895349616243019</v>
      </c>
      <c r="H8">
        <v>1.237916666666667</v>
      </c>
      <c r="I8">
        <v>0.70968861728344179</v>
      </c>
      <c r="J8">
        <v>9.5337499999999995</v>
      </c>
      <c r="K8">
        <v>1.7307006096284681</v>
      </c>
      <c r="L8">
        <v>49.467916666666667</v>
      </c>
      <c r="M8">
        <v>4.0067058294233879</v>
      </c>
      <c r="N8">
        <v>10.515000000000001</v>
      </c>
      <c r="O8">
        <v>2.1184541353735411</v>
      </c>
      <c r="P8">
        <v>14.891666666666669</v>
      </c>
      <c r="Q8">
        <v>2.4594138183653298</v>
      </c>
      <c r="R8">
        <v>7.3466666666666667</v>
      </c>
      <c r="S8">
        <v>2.4616295028300139</v>
      </c>
      <c r="T8">
        <v>4.0529166666666674</v>
      </c>
      <c r="U8">
        <v>1.702486040804976</v>
      </c>
      <c r="V8">
        <v>2.6566666666666672</v>
      </c>
      <c r="W8">
        <v>2.169159081841268</v>
      </c>
      <c r="X8">
        <v>-0.61082411384492663</v>
      </c>
      <c r="Y8">
        <v>0.6935546987504051</v>
      </c>
      <c r="Z8">
        <v>5.9182502192210924</v>
      </c>
      <c r="AA8">
        <v>0.16411169545615059</v>
      </c>
      <c r="AB8">
        <v>32.371521169812517</v>
      </c>
      <c r="AC8">
        <v>0.29225301356142219</v>
      </c>
      <c r="AD8">
        <v>38.289771389033611</v>
      </c>
      <c r="AE8">
        <v>0.29273315968806152</v>
      </c>
      <c r="AF8" t="s">
        <v>29</v>
      </c>
      <c r="AG8" t="s">
        <v>181</v>
      </c>
      <c r="AH8">
        <v>165</v>
      </c>
      <c r="AI8">
        <v>90</v>
      </c>
      <c r="AJ8">
        <v>100</v>
      </c>
      <c r="AK8" t="s">
        <v>31</v>
      </c>
      <c r="AL8">
        <v>1024</v>
      </c>
      <c r="AM8">
        <v>1024</v>
      </c>
      <c r="AN8">
        <v>2400</v>
      </c>
      <c r="AO8" t="s">
        <v>171</v>
      </c>
      <c r="AP8" s="2">
        <v>44624</v>
      </c>
    </row>
    <row r="9" spans="1:42" x14ac:dyDescent="0.3">
      <c r="A9" t="s">
        <v>182</v>
      </c>
      <c r="B9">
        <v>0.33500000000000002</v>
      </c>
      <c r="C9">
        <v>0.42051755829574677</v>
      </c>
      <c r="D9">
        <v>1.0158333333333329</v>
      </c>
      <c r="E9">
        <v>0.72568082124373912</v>
      </c>
      <c r="F9">
        <v>2.7633333333333332</v>
      </c>
      <c r="G9">
        <v>1.1162111488620761</v>
      </c>
      <c r="H9">
        <v>4.1133333333333333</v>
      </c>
      <c r="I9">
        <v>1.113855197354396</v>
      </c>
      <c r="J9">
        <v>9.5491666666666664</v>
      </c>
      <c r="K9">
        <v>1.6967547174733999</v>
      </c>
      <c r="L9">
        <v>43.43333333333333</v>
      </c>
      <c r="M9">
        <v>4.3208956118944704</v>
      </c>
      <c r="N9">
        <v>13.092916666666669</v>
      </c>
      <c r="O9">
        <v>2.3952804954317428</v>
      </c>
      <c r="P9">
        <v>19.209583333333331</v>
      </c>
      <c r="Q9">
        <v>2.7593991438283658</v>
      </c>
      <c r="R9">
        <v>5.112916666666667</v>
      </c>
      <c r="S9">
        <v>2.0826033653812228</v>
      </c>
      <c r="T9">
        <v>1.1625000000000001</v>
      </c>
      <c r="U9">
        <v>1.01599684011545</v>
      </c>
      <c r="V9">
        <v>0.21208333333333329</v>
      </c>
      <c r="W9">
        <v>0.52200104788736845</v>
      </c>
      <c r="X9">
        <v>-0.59250344296127788</v>
      </c>
      <c r="Y9">
        <v>0.70382565404055342</v>
      </c>
      <c r="Z9">
        <v>13.39894172807748</v>
      </c>
      <c r="AA9">
        <v>0.36653028254313341</v>
      </c>
      <c r="AB9">
        <v>23.709949777695169</v>
      </c>
      <c r="AC9">
        <v>0.25550620869112661</v>
      </c>
      <c r="AD9">
        <v>37.108891505772647</v>
      </c>
      <c r="AE9">
        <v>0.31606830262637747</v>
      </c>
      <c r="AF9" t="s">
        <v>183</v>
      </c>
      <c r="AG9" t="s">
        <v>173</v>
      </c>
      <c r="AH9">
        <v>165</v>
      </c>
      <c r="AI9">
        <v>90</v>
      </c>
      <c r="AJ9">
        <v>100</v>
      </c>
      <c r="AK9" t="s">
        <v>31</v>
      </c>
      <c r="AL9">
        <v>1024</v>
      </c>
      <c r="AM9">
        <v>1024</v>
      </c>
      <c r="AN9">
        <v>2400</v>
      </c>
      <c r="AO9" t="s">
        <v>171</v>
      </c>
      <c r="AP9" s="2">
        <v>44624</v>
      </c>
    </row>
    <row r="10" spans="1:42" x14ac:dyDescent="0.3">
      <c r="A10" t="s">
        <v>184</v>
      </c>
      <c r="B10">
        <v>0.88500000000000001</v>
      </c>
      <c r="C10">
        <v>0.97115959243797179</v>
      </c>
      <c r="D10">
        <v>1.8654166666666669</v>
      </c>
      <c r="E10">
        <v>0.98194730186888701</v>
      </c>
      <c r="F10">
        <v>4.2525000000000004</v>
      </c>
      <c r="G10">
        <v>1.452396767156976</v>
      </c>
      <c r="H10">
        <v>6.2654166666666669</v>
      </c>
      <c r="I10">
        <v>1.439295589631334</v>
      </c>
      <c r="J10">
        <v>13.01375</v>
      </c>
      <c r="K10">
        <v>2.0362874491281899</v>
      </c>
      <c r="L10">
        <v>52.467500000000001</v>
      </c>
      <c r="M10">
        <v>5.1575506768511072</v>
      </c>
      <c r="N10">
        <v>12.71916666666667</v>
      </c>
      <c r="O10">
        <v>1.9402246780583949</v>
      </c>
      <c r="P10">
        <v>8.1487499999999997</v>
      </c>
      <c r="Q10">
        <v>2.408491156444923</v>
      </c>
      <c r="R10">
        <v>0.34458333333333341</v>
      </c>
      <c r="S10">
        <v>0.58140177441115537</v>
      </c>
      <c r="T10">
        <v>3.7916666666666668E-2</v>
      </c>
      <c r="U10">
        <v>0.17277272313889869</v>
      </c>
      <c r="V10">
        <v>0</v>
      </c>
      <c r="W10">
        <v>0</v>
      </c>
      <c r="X10">
        <v>-0.21338288047341189</v>
      </c>
      <c r="Y10">
        <v>0.79297883237179512</v>
      </c>
      <c r="Z10">
        <v>16.242599846764069</v>
      </c>
      <c r="AA10">
        <v>0.41115977286518052</v>
      </c>
      <c r="AB10">
        <v>11.099987983491969</v>
      </c>
      <c r="AC10">
        <v>0.2345739588325412</v>
      </c>
      <c r="AD10">
        <v>27.342587830256029</v>
      </c>
      <c r="AE10">
        <v>0.37086450111889591</v>
      </c>
      <c r="AF10" t="s">
        <v>29</v>
      </c>
      <c r="AG10" t="s">
        <v>176</v>
      </c>
      <c r="AH10">
        <v>160</v>
      </c>
      <c r="AI10">
        <v>90</v>
      </c>
      <c r="AJ10">
        <v>100</v>
      </c>
      <c r="AK10" t="s">
        <v>31</v>
      </c>
      <c r="AL10">
        <v>1024</v>
      </c>
      <c r="AM10">
        <v>1024</v>
      </c>
      <c r="AN10">
        <v>2400</v>
      </c>
      <c r="AO10" t="s">
        <v>171</v>
      </c>
      <c r="AP10" s="2">
        <v>44624</v>
      </c>
    </row>
    <row r="11" spans="1:42" x14ac:dyDescent="0.3">
      <c r="A11" t="s">
        <v>185</v>
      </c>
      <c r="B11">
        <v>5.8237500000000004</v>
      </c>
      <c r="C11">
        <v>4.1138140130207823</v>
      </c>
      <c r="D11">
        <v>4.3420833333333331</v>
      </c>
      <c r="E11">
        <v>1.24095061890157</v>
      </c>
      <c r="F11">
        <v>5.0412499999999998</v>
      </c>
      <c r="G11">
        <v>1.0803912231250361</v>
      </c>
      <c r="H11">
        <v>4.9345833333333333</v>
      </c>
      <c r="I11">
        <v>1.098560030226488</v>
      </c>
      <c r="J11">
        <v>9.3270833333333325</v>
      </c>
      <c r="K11">
        <v>1.58447786694246</v>
      </c>
      <c r="L11">
        <v>40.579583333333332</v>
      </c>
      <c r="M11">
        <v>5.0569917450258171</v>
      </c>
      <c r="N11">
        <v>15.172916666666669</v>
      </c>
      <c r="O11">
        <v>2.4055851162832509</v>
      </c>
      <c r="P11">
        <v>13.317916666666671</v>
      </c>
      <c r="Q11">
        <v>2.8069969232245588</v>
      </c>
      <c r="R11">
        <v>1.3587499999999999</v>
      </c>
      <c r="S11">
        <v>1.2454025301569021</v>
      </c>
      <c r="T11">
        <v>0.1020833333333333</v>
      </c>
      <c r="U11">
        <v>0.35722339059142549</v>
      </c>
      <c r="V11">
        <v>0</v>
      </c>
      <c r="W11">
        <v>0</v>
      </c>
      <c r="X11">
        <v>-0.64805273516948037</v>
      </c>
      <c r="Y11">
        <v>0.65254851327399532</v>
      </c>
      <c r="Z11">
        <v>31.516853387272668</v>
      </c>
      <c r="AA11">
        <v>0.35968138313540771</v>
      </c>
      <c r="AB11">
        <v>15.612143226677571</v>
      </c>
      <c r="AC11">
        <v>0.24167356115510269</v>
      </c>
      <c r="AD11">
        <v>47.128996613950243</v>
      </c>
      <c r="AE11">
        <v>0.34533523691931173</v>
      </c>
      <c r="AF11" t="s">
        <v>29</v>
      </c>
      <c r="AG11" t="s">
        <v>30</v>
      </c>
      <c r="AH11">
        <v>170</v>
      </c>
      <c r="AI11">
        <v>90</v>
      </c>
      <c r="AJ11">
        <v>100</v>
      </c>
      <c r="AK11" t="s">
        <v>31</v>
      </c>
      <c r="AL11">
        <v>1024</v>
      </c>
      <c r="AM11">
        <v>1024</v>
      </c>
      <c r="AN11">
        <v>2400</v>
      </c>
      <c r="AO11" t="s">
        <v>171</v>
      </c>
      <c r="AP11" s="2">
        <v>44624</v>
      </c>
    </row>
    <row r="12" spans="1:42" x14ac:dyDescent="0.3">
      <c r="B12">
        <f>AVERAGE(B2:B11)</f>
        <v>3.2548750000000006</v>
      </c>
      <c r="C12">
        <f>AVERAGE(C2:C11)/SQRT(10)</f>
        <v>0.9641064194966964</v>
      </c>
      <c r="D12">
        <f>AVERAGE(D2:D11)</f>
        <v>1.6043749999999999</v>
      </c>
      <c r="E12">
        <f>AVERAGE(E2:E11)/SQRT(10)</f>
        <v>0.19611529433458361</v>
      </c>
      <c r="F12">
        <f>AVERAGE(F2:F11)</f>
        <v>2.4514166666666668</v>
      </c>
      <c r="G12">
        <f>AVERAGE(G2:G11)/SQRT(10)</f>
        <v>0.27502884859271209</v>
      </c>
      <c r="H12">
        <f>AVERAGE(H2:H11)</f>
        <v>3.2924999999999995</v>
      </c>
      <c r="I12">
        <f>AVERAGE(I2:I11)/SQRT(10)</f>
        <v>0.31761664560912062</v>
      </c>
      <c r="J12">
        <f>AVERAGE(J2:J11)</f>
        <v>8.7912916666666678</v>
      </c>
      <c r="K12">
        <f>AVERAGE(K2:K11)/SQRT(10)</f>
        <v>0.57907238051468124</v>
      </c>
      <c r="L12">
        <f>AVERAGE(L2:L11)</f>
        <v>51.615666666666662</v>
      </c>
      <c r="M12">
        <f>AVERAGE(M2:M11)/SQRT(10)</f>
        <v>1.6007228995497724</v>
      </c>
      <c r="N12">
        <f>AVERAGE(N2:N11)</f>
        <v>12.350125</v>
      </c>
      <c r="O12">
        <f>AVERAGE(O2:O11)/SQRT(10)</f>
        <v>0.83713832013142719</v>
      </c>
      <c r="P12">
        <f>AVERAGE(P2:P11)</f>
        <v>12.824999999999998</v>
      </c>
      <c r="Q12">
        <f>AVERAGE(Q2:Q11)/SQRT(10)</f>
        <v>0.82439964336366156</v>
      </c>
      <c r="R12">
        <f>AVERAGE(R2:R11)</f>
        <v>2.6962916666666668</v>
      </c>
      <c r="S12">
        <f>AVERAGE(S2:S11)/SQRT(10)</f>
        <v>0.44632837827709271</v>
      </c>
      <c r="T12">
        <f>AVERAGE(T2:T11)</f>
        <v>0.78208333333333346</v>
      </c>
      <c r="U12">
        <f>AVERAGE(U2:U11)/SQRT(10)</f>
        <v>0.20303834115646618</v>
      </c>
      <c r="V12">
        <f>AVERAGE(V2:V11)</f>
        <v>0.33637500000000004</v>
      </c>
      <c r="W12">
        <f>AVERAGE(W2:W11)/SQRT(10)</f>
        <v>0.12429300548501446</v>
      </c>
    </row>
    <row r="13" spans="1:42" x14ac:dyDescent="0.3">
      <c r="H13">
        <f>SUM(B12,D12,F12,H12)</f>
        <v>10.603166666666667</v>
      </c>
      <c r="I13">
        <f>SUM(C12,E12,G12,I12)</f>
        <v>1.7528672080331127</v>
      </c>
      <c r="P13">
        <f>SUM(V12,T12,R12,P12)</f>
        <v>16.639749999999999</v>
      </c>
      <c r="Q13">
        <f>SUM(W12,U12,S12,Q12)</f>
        <v>1.598059368282235</v>
      </c>
    </row>
    <row r="16" spans="1:42" x14ac:dyDescent="0.3">
      <c r="L16">
        <f>SUM(H13,J12,L12,N12,P13)</f>
        <v>100</v>
      </c>
    </row>
    <row r="22" spans="8:17" x14ac:dyDescent="0.3">
      <c r="H22">
        <v>10.603166666666667</v>
      </c>
      <c r="I22">
        <v>1.7528672080331127</v>
      </c>
      <c r="J22">
        <v>8.7912916666666678</v>
      </c>
      <c r="K22">
        <v>0.57907238051468124</v>
      </c>
      <c r="L22">
        <v>51.615666666666662</v>
      </c>
      <c r="M22">
        <v>1.6007228995497724</v>
      </c>
      <c r="N22">
        <v>12.350125</v>
      </c>
      <c r="O22">
        <v>0.83713832013142719</v>
      </c>
      <c r="P22">
        <v>16.639749999999999</v>
      </c>
      <c r="Q22">
        <v>1.598059368282235</v>
      </c>
    </row>
    <row r="24" spans="8:17" x14ac:dyDescent="0.3">
      <c r="L24">
        <f>SUM(H22,J22,L22,N22,P22)</f>
        <v>100</v>
      </c>
    </row>
    <row r="28" spans="8:17" x14ac:dyDescent="0.3">
      <c r="L2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adolescent#010</vt:lpstr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2025-01-08T04:08:30Z</dcterms:created>
  <dcterms:modified xsi:type="dcterms:W3CDTF">2025-01-13T12:04:46Z</dcterms:modified>
</cp:coreProperties>
</file>