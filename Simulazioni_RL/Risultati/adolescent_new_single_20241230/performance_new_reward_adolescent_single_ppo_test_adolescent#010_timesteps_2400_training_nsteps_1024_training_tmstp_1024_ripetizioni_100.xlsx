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simglucose\Simulazioni_RL\Risultati\adolescent_new_single_20241230\"/>
    </mc:Choice>
  </mc:AlternateContent>
  <xr:revisionPtr revIDLastSave="0" documentId="13_ncr:1_{78D49949-F6EF-4D3F-804C-1AA721BD9B97}" xr6:coauthVersionLast="47" xr6:coauthVersionMax="47" xr10:uidLastSave="{00000000-0000-0000-0000-000000000000}"/>
  <bookViews>
    <workbookView xWindow="15264" yWindow="0" windowWidth="15552" windowHeight="16656" activeTab="1" xr2:uid="{00000000-000D-0000-FFFF-FFFF00000000}"/>
  </bookViews>
  <sheets>
    <sheet name="adolescent#010" sheetId="1" r:id="rId1"/>
    <sheet name="risultat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" i="2" l="1"/>
  <c r="Q13" i="2" s="1"/>
  <c r="V12" i="2"/>
  <c r="P13" i="2" s="1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I13" i="2" s="1"/>
  <c r="D12" i="2"/>
  <c r="H13" i="2" s="1"/>
  <c r="L16" i="2" s="1"/>
  <c r="C12" i="2"/>
  <c r="B12" i="2"/>
</calcChain>
</file>

<file path=xl/sharedStrings.xml><?xml version="1.0" encoding="utf-8"?>
<sst xmlns="http://schemas.openxmlformats.org/spreadsheetml/2006/main" count="405" uniqueCount="175">
  <si>
    <t>death hypo</t>
  </si>
  <si>
    <t>ultra hypo</t>
  </si>
  <si>
    <t>heavy hypo</t>
  </si>
  <si>
    <t>severe hypo</t>
  </si>
  <si>
    <t>hypo</t>
  </si>
  <si>
    <t>time in range</t>
  </si>
  <si>
    <t>hyper</t>
  </si>
  <si>
    <t>severe hyper</t>
  </si>
  <si>
    <t>heavy hyper</t>
  </si>
  <si>
    <t>ultra hyper</t>
  </si>
  <si>
    <t>death hyper</t>
  </si>
  <si>
    <t>reward</t>
  </si>
  <si>
    <t>LBGI mean</t>
  </si>
  <si>
    <t>LBGI std</t>
  </si>
  <si>
    <t>HBGI mean</t>
  </si>
  <si>
    <t>HBGI std</t>
  </si>
  <si>
    <t>RI mean</t>
  </si>
  <si>
    <t>RI std</t>
  </si>
  <si>
    <t>cap</t>
  </si>
  <si>
    <t>training learning rate</t>
  </si>
  <si>
    <t>training n steps</t>
  </si>
  <si>
    <t>training timesteps</t>
  </si>
  <si>
    <t>test timesteps</t>
  </si>
  <si>
    <t>ripetizione</t>
  </si>
  <si>
    <t>scenario</t>
  </si>
  <si>
    <t>tempo esecuzione</t>
  </si>
  <si>
    <t>0.06</t>
  </si>
  <si>
    <t>00003</t>
  </si>
  <si>
    <t>[(9, 30), (13, 80), (17, 13), (20, 78), (36, 96), (45, 91), (54, 27), (60, 109), (64, 16), (71, 89), (84, 144), (93, 79), (102, 42), (109, 59), (118, 105)]</t>
  </si>
  <si>
    <t>[(6, 37), (12, 147), (19, 93), (37, 105), (44, 53), (61, 90), (69, 80), (85, 75), (93, 115), (105, 43), (108, 112), (116, 74)]</t>
  </si>
  <si>
    <t>[(6, 35), (13, 140), (19, 100), (36, 113), (40, 9), (45, 89), (61, 125), (70, 73), (84, 113), (93, 103), (105, 44), (108, 110), (113, 10), (116, 90)]</t>
  </si>
  <si>
    <t>[(9, 40), (12, 95), (17, 10), (19, 77), (37, 100), (46, 47), (54, 37), (61, 104), (63, 8), (68, 77), (84, 138), (93, 83), (108, 68), (112, 12), (117, 100)]</t>
  </si>
  <si>
    <t>[(12, 82), (22, 106), (32, 36), (38, 147), (45, 47), (60, 113), (69, 91), (85, 124), (94, 69), (102, 39), (108, 94), (117, 73)]</t>
  </si>
  <si>
    <t>[(10, 36), (12, 82), (18, 6), (23, 90), (36, 98), (41, 11), (43, 70), (57, 40), (61, 98), (66, 12), (67, 83), (79, 43), (84, 112), (92, 80), (104, 36), (109, 87), (113, 6), (115, 122)]</t>
  </si>
  <si>
    <t>[(7, 34), (13, 110), (21, 105), (36, 67), (44, 77), (60, 92), (65, 12), (69, 83), (73, 13), (80, 30), (85, 107), (92, 102), (105, 27), (107, 83), (112, 12), (115, 79)]</t>
  </si>
  <si>
    <t>[(9, 31), (13, 114), (18, 12), (21, 84), (31, 39), (36, 118), (44, 98), (61, 77), (65, 10), (68, 88), (79, 18), (84, 115), (93, 63), (108, 83), (116, 73)]</t>
  </si>
  <si>
    <t>[(13, 110), (17, 11), (21, 95), (34, 47), (36, 132), (44, 61), (61, 85), (81, 26), (85, 124), (93, 119), (105, 28), (109, 62), (115, 75)]</t>
  </si>
  <si>
    <t>[(7, 25), (12, 105), (16, 12), (22, 72), (37, 80), (42, 10), (43, 81), (55, 24), (61, 137), (67, 14), (68, 80), (78, 25), (85, 154), (93, 86), (105, 34), (109, 126), (115, 123)]</t>
  </si>
  <si>
    <t>[(6, 33), (13, 110), (17, 10), (21, 86), (36, 106), (44, 89), (56, 43), (60, 123), (64, 12), (67, 62), (78, 16), (85, 155), (92, 62), (108, 98), (117, 64)]</t>
  </si>
  <si>
    <t>[(13, 107), (21, 97), (32, 40), (36, 98), (44, 70), (55, 36), (60, 123), (65, 11), (68, 101), (79, 26), (84, 79), (93, 127), (108, 141), (116, 102), (121, 10)]</t>
  </si>
  <si>
    <t>[(7, 38), (12, 154), (18, 63), (36, 90), (45, 114), (54, 46), (60, 96), (68, 85), (77, 43), (84, 114), (88, 9), (93, 74), (109, 109), (117, 55)]</t>
  </si>
  <si>
    <t>[(12, 145), (20, 78), (34, 28), (37, 81), (42, 10), (44, 86), (60, 112), (69, 52), (79, 39), (84, 75), (103, 30), (108, 94), (116, 57)]</t>
  </si>
  <si>
    <t>[(7, 42), (13, 57), (20, 90), (36, 59), (46, 73), (57, 32), (61, 86), (68, 67), (84, 55), (87, 10), (94, 72), (104, 36), (109, 119), (117, 105)]</t>
  </si>
  <si>
    <t>[(13, 99), (21, 100), (23, 14), (32, 41), (36, 135), (41, 10), (44, 72), (52, 34), (60, 105), (64, 16), (67, 103), (80, 43), (84, 49), (89, 15), (94, 92), (108, 110), (115, 92)]</t>
  </si>
  <si>
    <t>[(6, 41), (13, 103), (21, 84), (37, 124), (45, 79), (62, 132), (68, 62), (79, 36), (85, 96), (92, 95), (105, 28), (109, 90), (115, 73)]</t>
  </si>
  <si>
    <t>[(9, 44), (12, 116), (21, 92), (32, 23), (36, 123), (41, 10), (45, 112), (61, 137), (71, 65), (85, 123), (93, 91), (102, 30), (108, 100), (118, 101)]</t>
  </si>
  <si>
    <t>[(6, 32), (12, 153), (17, 9), (21, 72), (36, 124), (45, 102), (61, 94), (65, 10), (67, 65), (78, 45), (83, 123), (92, 86), (100, 40), (108, 108), (116, 94)]</t>
  </si>
  <si>
    <t>[(12, 114), (23, 82), (36, 106), (45, 83), (55, 32), (60, 85), (70, 79), (79, 46), (84, 148), (93, 65), (108, 124), (116, 88)]</t>
  </si>
  <si>
    <t>[(9, 40), (12, 108), (22, 55), (31, 18), (37, 84), (46, 75), (54, 36), (60, 115), (69, 87), (79, 31), (85, 115), (91, 81), (109, 117), (113, 10), (117, 84)]</t>
  </si>
  <si>
    <t>[(12, 130), (20, 96), (32, 36), (37, 82), (40, 14), (45, 89), (61, 98), (69, 72), (79, 34), (85, 88), (93, 65), (103, 54), (109, 141), (113, 14), (117, 86)]</t>
  </si>
  <si>
    <t>[(8, 31), (13, 125), (20, 95), (36, 113), (43, 123), (60, 103), (65, 7), (68, 69), (85, 119), (89, 14), (91, 82), (105, 29), (109, 120), (116, 96)]</t>
  </si>
  <si>
    <t>[(13, 146), (23, 94), (31, 33), (36, 117), (46, 92), (62, 94), (64, 14), (69, 95), (79, 14), (84, 135), (94, 90), (95, 12), (103, 41), (108, 108), (118, 67)]</t>
  </si>
  <si>
    <t>[(12, 101), (24, 49), (34, 32), (37, 108), (47, 80), (59, 108), (67, 12), (68, 89), (84, 100), (89, 4), (91, 78), (103, 44), (108, 111), (117, 95)]</t>
  </si>
  <si>
    <t>[(5, 27), (12, 110), (21, 84), (31, 31), (36, 71), (45, 61), (53, 34), (60, 100), (69, 83), (79, 15), (85, 86), (92, 67), (103, 38), (109, 43), (117, 81)]</t>
  </si>
  <si>
    <t>[(5, 29), (13, 125), (20, 98), (33, 31), (37, 101), (45, 70), (55, 27), (60, 122), (70, 69), (85, 117), (92, 77), (104, 38), (108, 118), (116, 77)]</t>
  </si>
  <si>
    <t>[(12, 129), (21, 74), (37, 105), (40, 12), (46, 76), (54, 31), (60, 100), (66, 11), (69, 75), (84, 59), (89, 10), (94, 80), (109, 109), (114, 61)]</t>
  </si>
  <si>
    <t>[(8, 39), (13, 145), (17, 12), (20, 103), (36, 84), (42, 8), (45, 110), (57, 41), (60, 116), (64, 8), (69, 86), (78, 40), (84, 89), (93, 71), (104, 35), (108, 46), (117, 79)]</t>
  </si>
  <si>
    <t>[(7, 26), (12, 121), (22, 83), (36, 107), (41, 14), (46, 100), (54, 28), (61, 72), (70, 86), (85, 125), (91, 81), (103, 36), (108, 127), (117, 67)]</t>
  </si>
  <si>
    <t>[(13, 97), (19, 101), (36, 122), (45, 63), (56, 39), (60, 80), (64, 9), (68, 74), (84, 130), (93, 64), (103, 36), (109, 91), (111, 13), (116, 97)]</t>
  </si>
  <si>
    <t>[(13, 124), (16, 8), (20, 72), (33, 34), (37, 66), (44, 90), (61, 109), (67, 135), (79, 29), (85, 94), (90, 6), (92, 86), (108, 87), (115, 93)]</t>
  </si>
  <si>
    <t>[(9, 25), (12, 85), (20, 65), (30, 22), (36, 135), (43, 96), (54, 26), (60, 113), (68, 57), (81, 33), (85, 108), (90, 12), (93, 52), (108, 91), (117, 87)]</t>
  </si>
  <si>
    <t>[(13, 102), (18, 11), (21, 87), (38, 112), (45, 56), (56, 23), (61, 76), (66, 14), (84, 120), (92, 51), (103, 27), (109, 103), (112, 11), (116, 87)]</t>
  </si>
  <si>
    <t>[(13, 112), (37, 48), (41, 15), (45, 62), (57, 41), (60, 98), (66, 12), (68, 98), (84, 104), (91, 14), (91, 53), (104, 46), (109, 84), (118, 99)]</t>
  </si>
  <si>
    <t>[(6, 41), (12, 103), (22, 115), (37, 122), (44, 78), (60, 110), (64, 11), (68, 68), (81, 24), (85, 133), (93, 39), (102, 36), (108, 115), (112, 8), (118, 95)]</t>
  </si>
  <si>
    <t>[(7, 32), (13, 110), (19, 108), (37, 108), (44, 85), (61, 111), (66, 8), (70, 95), (78, 37), (84, 80), (91, 54), (109, 80), (115, 64)]</t>
  </si>
  <si>
    <t>[(8, 39), (12, 26), (20, 52), (28, 27), (35, 76), (41, 9), (44, 84), (59, 29), (61, 117), (67, 88), (85, 120), (93, 77), (108, 88), (116, 57)]</t>
  </si>
  <si>
    <t>[(8, 38), (13, 122), (19, 10), (21, 49), (37, 80), (44, 81), (60, 69), (69, 109), (85, 81), (93, 86), (104, 22), (109, 96), (116, 66)]</t>
  </si>
  <si>
    <t>[(6, 28), (13, 97), (16, 12), (20, 81), (36, 115), (44, 89), (60, 78), (68, 86), (80, 24), (84, 87), (92, 104), (109, 101), (115, 71)]</t>
  </si>
  <si>
    <t>[(12, 93), (21, 86), (36, 107), (45, 92), (58, 40), (61, 82), (68, 77), (76, 10), (84, 55), (93, 62), (106, 38), (109, 122), (116, 57)]</t>
  </si>
  <si>
    <t>[(12, 99), (21, 105), (36, 121), (45, 53), (57, 36), (60, 79), (65, 11), (68, 52), (78, 36), (85, 100), (93, 95), (104, 45), (108, 122), (117, 85)]</t>
  </si>
  <si>
    <t>[(6, 33), (13, 93), (17, 13), (19, 64), (33, 17), (36, 101), (46, 66), (57, 33), (61, 92), (69, 102), (85, 135), (93, 86), (109, 162), (112, 11), (116, 62)]</t>
  </si>
  <si>
    <t>[(8, 21), (12, 82), (21, 54), (31, 25), (36, 88), (43, 83), (57, 19), (61, 87), (70, 76), (83, 73), (89, 13), (93, 80), (101, 27), (108, 88)]</t>
  </si>
  <si>
    <t>[(7, 26), (12, 120), (16, 12), (20, 68), (33, 30), (37, 87), (45, 85), (55, 20), (61, 91), (68, 101), (80, 38), (84, 109), (93, 69), (102, 24), (109, 104), (116, 82)]</t>
  </si>
  <si>
    <t>[(13, 130), (37, 110), (40, 12), (44, 106), (56, 30), (60, 146), (66, 15), (70, 67), (80, 29), (84, 110), (93, 54), (104, 31), (110, 72), (116, 12), (115, 64)]</t>
  </si>
  <si>
    <t>[(7, 38), (13, 98), (22, 58), (34, 32), (37, 82), (45, 51), (60, 86), (70, 65), (84, 95), (93, 75), (103, 31), (109, 126), (116, 76)]</t>
  </si>
  <si>
    <t>[(8, 38), (12, 134), (16, 14), (19, 56), (32, 36), (37, 129), (45, 64), (61, 90), (65, 10), (68, 89), (84, 37), (85, 92), (89, 4), (95, 50), (110, 103), (115, 97)]</t>
  </si>
  <si>
    <t>[(8, 25), (13, 126), (20, 50), (32, 32), (37, 64), (44, 70), (54, 26), (60, 102), (69, 80), (80, 39), (85, 87), (93, 65), (104, 46), (108, 67), (116, 123)]</t>
  </si>
  <si>
    <t>[(9, 23), (12, 121), (22, 75), (33, 42), (36, 104), (46, 81), (56, 21), (59, 114), (63, 10), (69, 41), (80, 37), (85, 118), (93, 93), (109, 84), (114, 11), (117, 77)]</t>
  </si>
  <si>
    <t>[(13, 144), (17, 10), (18, 101), (36, 116), (44, 106), (55, 45), (61, 112), (64, 14), (69, 64), (84, 128), (95, 121), (103, 35), (108, 92), (114, 87)]</t>
  </si>
  <si>
    <t>[(9, 27), (13, 75), (21, 98), (29, 25), (35, 94), (45, 114), (61, 87), (68, 103), (85, 102), (93, 82), (104, 46), (108, 93), (116, 75)]</t>
  </si>
  <si>
    <t>[(12, 120), (16, 10), (21, 85), (33, 39), (36, 100), (39, 14), (45, 82), (48, 12), (54, 33), (60, 101), (69, 75), (84, 111), (87, 14), (93, 49), (104, 32), (108, 144), (116, 36)]</t>
  </si>
  <si>
    <t>[(13, 92), (18, 11), (20, 79), (33, 33), (37, 95), (42, 12), (43, 80), (56, 38), (60, 121), (65, 10), (70, 70), (80, 34), (84, 96), (94, 66), (108, 109)]</t>
  </si>
  <si>
    <t>[(13, 73), (20, 104), (36, 116), (41, 14), (44, 85), (56, 30), (60, 142), (65, 11), (69, 88), (79, 35), (85, 89), (94, 116), (109, 111), (113, 11), (116, 62)]</t>
  </si>
  <si>
    <t>[(6, 39), (13, 72), (16, 12), (20, 116), (35, 84), (45, 59), (52, 40), (60, 115), (65, 8), (68, 83), (85, 117), (91, 108), (103, 20), (108, 75), (116, 89)]</t>
  </si>
  <si>
    <t>[(8, 42), (13, 66), (21, 75), (32, 30), (36, 80), (43, 9), (45, 102), (60, 70), (69, 97), (79, 39), (85, 57), (94, 110), (109, 95), (116, 67)]</t>
  </si>
  <si>
    <t>[(13, 157), (17, 5), (22, 73), (34, 23), (36, 132), (44, 85), (54, 40), (60, 131), (68, 97), (81, 33), (84, 149), (88, 13), (92, 85), (102, 45), (109, 113), (112, 15), (117, 71)]</t>
  </si>
  <si>
    <t>[(13, 104), (20, 84), (31, 24), (37, 113), (45, 90), (57, 31), (60, 106), (71, 79), (84, 91), (90, 84), (105, 27), (109, 107), (110, 9), (117, 102)]</t>
  </si>
  <si>
    <t>[(12, 49), (17, 13), (20, 48), (33, 45), (36, 76), (46, 107), (55, 40), (60, 118), (69, 85), (80, 30), (85, 92), (91, 72), (104, 41), (109, 63), (113, 11), (115, 79)]</t>
  </si>
  <si>
    <t>[(9, 37), (12, 142), (17, 8), (20, 93), (34, 33), (36, 88), (46, 83), (60, 95), (68, 85), (85, 79), (92, 43), (103, 47), (108, 65), (117, 74)]</t>
  </si>
  <si>
    <t>[(12, 94), (20, 109), (38, 131), (46, 70), (60, 70), (69, 65), (77, 31), (85, 103), (95, 97), (104, 43), (108, 76), (112, 11), (117, 75)]</t>
  </si>
  <si>
    <t>[(8, 28), (13, 90), (21, 90), (30, 32), (37, 92), (44, 101), (61, 90), (68, 96), (77, 27), (85, 95), (88, 9), (91, 85), (109, 134), (116, 83)]</t>
  </si>
  <si>
    <t>[(5, 45), (13, 90), (17, 6), (20, 93), (32, 30), (36, 117), (44, 102), (61, 112), (65, 14), (70, 85), (84, 106), (89, 11), (95, 52), (109, 100), (117, 97)]</t>
  </si>
  <si>
    <t>[(13, 108), (21, 63), (32, 43), (37, 114), (39, 12), (44, 69), (53, 26), (61, 121), (64, 11), (69, 78), (81, 20), (84, 104), (94, 102), (106, 41), (108, 142)]</t>
  </si>
  <si>
    <t>[(13, 106), (19, 77), (30, 33), (37, 101), (46, 81), (61, 84), (70, 58), (80, 33), (84, 112), (93, 62), (104, 36), (108, 139), (116, 111)]</t>
  </si>
  <si>
    <t>[(7, 35), (13, 134), (21, 77), (36, 75), (44, 83), (60, 84), (68, 84), (81, 45), (84, 115), (88, 13), (92, 52), (105, 32), (108, 102)]</t>
  </si>
  <si>
    <t>[(12, 120), (16, 9), (21, 73), (32, 23), (36, 109), (41, 12), (44, 81), (61, 64), (65, 11), (68, 76), (78, 34), (85, 100), (92, 88), (104, 27), (109, 109), (113, 10), (117, 97)]</t>
  </si>
  <si>
    <t>[(6, 22), (12, 94), (21, 75), (37, 80), (41, 19), (43, 64), (53, 35), (61, 117), (69, 44), (81, 33), (85, 147), (88, 13), (91, 77), (109, 106), (117, 119)]</t>
  </si>
  <si>
    <t>[(12, 70), (20, 100), (36, 93), (44, 55), (60, 70), (67, 55), (79, 23), (85, 140), (93, 79), (102, 35), (108, 64), (113, 15), (117, 82)]</t>
  </si>
  <si>
    <t>[(12, 75), (20, 108), (33, 26), (36, 135), (44, 127), (56, 31), (60, 95), (65, 9), (71, 56), (84, 94), (88, 12), (91, 83), (105, 17), (109, 107), (111, 12), (117, 55)]</t>
  </si>
  <si>
    <t>[(12, 126), (16, 11), (20, 107), (36, 110), (42, 80), (61, 92), (70, 79), (80, 36), (84, 87), (109, 59), (111, 11), (116, 54)]</t>
  </si>
  <si>
    <t>[(12, 127), (22, 51), (36, 91), (46, 89), (55, 38), (61, 97), (66, 78), (80, 33), (84, 85), (89, 12), (93, 79), (108, 97), (114, 50), (119, 11)]</t>
  </si>
  <si>
    <t>[(10, 41), (12, 119), (19, 65), (36, 87), (46, 71), (52, 38), (61, 91), (70, 69), (80, 27), (85, 66), (89, 17), (92, 69), (108, 110), (116, 36)]</t>
  </si>
  <si>
    <t>[(6, 48), (13, 82), (20, 67), (36, 117), (45, 77), (57, 41), (61, 123), (69, 92), (85, 109), (93, 99), (109, 124), (116, 64)]</t>
  </si>
  <si>
    <t>[(13, 70), (20, 74), (36, 108), (43, 84), (53, 41), (60, 100), (70, 53), (80, 28), (85, 106), (89, 12), (92, 89), (104, 25), (110, 103), (116, 95)]</t>
  </si>
  <si>
    <t>[(6, 38), (13, 91), (20, 99), (37, 72), (42, 11), (45, 103), (60, 86), (69, 81), (85, 85), (94, 67), (104, 33), (108, 71), (118, 95)]</t>
  </si>
  <si>
    <t>[(10, 39), (13, 130), (21, 93), (36, 100), (40, 13), (44, 78), (61, 80), (63, 10), (67, 78), (80, 29), (84, 127), (88, 11), (103, 20), (109, 63), (115, 93)]</t>
  </si>
  <si>
    <t>[(13, 108), (15, 12), (21, 103), (32, 41), (37, 118), (43, 11), (44, 92), (56, 29), (61, 116), (64, 14), (69, 97), (78, 36), (85, 80), (91, 72), (108, 98)]</t>
  </si>
  <si>
    <t>[(13, 68), (20, 128), (37, 103), (44, 82), (61, 141), (69, 79), (85, 92), (93, 111), (108, 79), (113, 11), (117, 92)]</t>
  </si>
  <si>
    <t>[(13, 85), (20, 93), (30, 44), (37, 101), (45, 75), (61, 90), (85, 109), (87, 14), (93, 88), (103, 37), (109, 81), (116, 100)]</t>
  </si>
  <si>
    <t>[(13, 108), (17, 14), (22, 95), (30, 25), (36, 159), (44, 58), (57, 40), (61, 127), (64, 10), (69, 76), (80, 11), (85, 128), (103, 21), (109, 109), (113, 9), (117, 74)]</t>
  </si>
  <si>
    <t>[(7, 31), (12, 112), (21, 61), (37, 95), (42, 51), (56, 25), (61, 96), (64, 12), (68, 104), (85, 92), (89, 8), (108, 109), (116, 82)]</t>
  </si>
  <si>
    <t>[(6, 37), (13, 145), (31, 38), (37, 112), (44, 86), (53, 30), (61, 54), (70, 69), (81, 44), (85, 71), (92, 90), (101, 28), (109, 64), (113, 10), (115, 63)]</t>
  </si>
  <si>
    <t>[(8, 37), (13, 148), (32, 30), (36, 117), (41, 12), (45, 113), (61, 53), (68, 80), (78, 31), (84, 77), (92, 100), (109, 120), (116, 73)]</t>
  </si>
  <si>
    <t>[(13, 93), (20, 91), (34, 41), (37, 104), (44, 99), (57, 23), (61, 96), (68, 67), (85, 102), (92, 89), (109, 86), (116, 94)]</t>
  </si>
  <si>
    <t>[(7, 44), (13, 119), (21, 59), (30, 28), (37, 85), (41, 7), (44, 79), (55, 35), (61, 93), (69, 106), (78, 31), (84, 103), (89, 10), (91, 48), (110, 105)]</t>
  </si>
  <si>
    <t>[(9, 32), (13, 115), (16, 17), (20, 86), (33, 32), (37, 89), (42, 11), (45, 70), (54, 43), (61, 129), (69, 66), (84, 93), (89, 7), (92, 83), (108, 125), (118, 45)]</t>
  </si>
  <si>
    <t>[(13, 90), (21, 69), (36, 87), (44, 87), (56, 38), (61, 113), (70, 52), (78, 38), (84, 125), (91, 96), (109, 94), (117, 63)]</t>
  </si>
  <si>
    <t>[(12, 107), (17, 13), (20, 101), (36, 87), (42, 12), (44, 63), (60, 85), (68, 84), (79, 30), (85, 114), (89, 12), (94, 90), (108, 147), (112, 14), (116, 87)]</t>
  </si>
  <si>
    <t>[(7, 28), (13, 85), (17, 9), (21, 77), (36, 97), (41, 9), (43, 81), (60, 87), (67, 63), (80, 27), (86, 137), (93, 85), (102, 25), (108, 94), (117, 59)]</t>
  </si>
  <si>
    <t>[(8, 26), (13, 89), (33, 37), (36, 82), (41, 12), (45, 74), (46, 6), (56, 36), (61, 130), (65, 9), (68, 72), (79, 32), (85, 49), (91, 129), (105, 38), (109, 143), (116, 29)]</t>
  </si>
  <si>
    <t>[(12, 160), (17, 12), (19, 67), (36, 65), (39, 7), (44, 76), (56, 32), (60, 140), (69, 61), (78, 41), (84, 145), (94, 105), (103, 46), (108, 100), (113, 10), (115, 102)]</t>
  </si>
  <si>
    <t>[(7, 32), (13, 109), (38, 104), (44, 88), (52, 40), (60, 57), (69, 70), (79, 35), (84, 100), (88, 10), (93, 51), (109, 94), (116, 80)]</t>
  </si>
  <si>
    <t>[(9, 45), (13, 111), (21, 58), (33, 38), (36, 106), (45, 69), (60, 119), (63, 12), (69, 80), (77, 41), (85, 99), (92, 90), (105, 22), (108, 105), (115, 64)]</t>
  </si>
  <si>
    <t>[(12, 106), (21, 72), (30, 47), (36, 128), (44, 83), (55, 33), (60, 102), (64, 10), (70, 92), (84, 89), (94, 93), (109, 107), (117, 80)]</t>
  </si>
  <si>
    <t>[(5, 36), (13, 146), (16, 11), (21, 67), (36, 86), (44, 85), (60, 132), (68, 65), (80, 34), (85, 79), (92, 74), (104, 27), (108, 93), (117, 44)]</t>
  </si>
  <si>
    <t>[(6, 34), (12, 108), (15, 9), (21, 95), (37, 147), (45, 98), (54, 38), (61, 89), (64, 8), (68, 94), (79, 39), (83, 93), (95, 95), (109, 149), (111, 12), (117, 100)]</t>
  </si>
  <si>
    <t>[(12, 102), (20, 77), (37, 86), (45, 94), (57, 38), (60, 50), (64, 9), (69, 52), (79, 45), (84, 82), (94, 93), (104, 39), (108, 84), (118, 88)]</t>
  </si>
  <si>
    <t>[(7, 32), (13, 132), (20, 93), (36, 99), (43, 85), (61, 85), (70, 87), (79, 38), (83, 52), (92, 60), (108, 25), (108, 92), (117, 93)]</t>
  </si>
  <si>
    <t>paziente</t>
  </si>
  <si>
    <t>death hypo mean</t>
  </si>
  <si>
    <t>death hypo st dev</t>
  </si>
  <si>
    <t>ultra hypo mean</t>
  </si>
  <si>
    <t>ultra hypo st dev</t>
  </si>
  <si>
    <t>heavy hypo mean</t>
  </si>
  <si>
    <t>heavy hypo st dev</t>
  </si>
  <si>
    <t>severe hypo mean</t>
  </si>
  <si>
    <t>severe hypo st dev</t>
  </si>
  <si>
    <t>hypo mean</t>
  </si>
  <si>
    <t>hypo st dev</t>
  </si>
  <si>
    <t>time in range mean</t>
  </si>
  <si>
    <t>time in range st dev</t>
  </si>
  <si>
    <t>hyper mean</t>
  </si>
  <si>
    <t>hyper st dev</t>
  </si>
  <si>
    <t>severe hyper mean</t>
  </si>
  <si>
    <t>severe hyper st dev</t>
  </si>
  <si>
    <t>heavy hyper mean</t>
  </si>
  <si>
    <t>heavy hyper st dev</t>
  </si>
  <si>
    <t>ultra hyper mean</t>
  </si>
  <si>
    <t>ultra hyper st dev</t>
  </si>
  <si>
    <t>death hyper mean</t>
  </si>
  <si>
    <t>death hyper st dev</t>
  </si>
  <si>
    <t>reward mean</t>
  </si>
  <si>
    <t>reward st dev</t>
  </si>
  <si>
    <t>LBGI mean of means</t>
  </si>
  <si>
    <t>LBGI mean of std</t>
  </si>
  <si>
    <t>HBGI mean of means</t>
  </si>
  <si>
    <t>HBGI mean of std</t>
  </si>
  <si>
    <t>RI mean of means</t>
  </si>
  <si>
    <t>RI mean of std</t>
  </si>
  <si>
    <t>cap mean</t>
  </si>
  <si>
    <t>ripetizioni</t>
  </si>
  <si>
    <t>start time</t>
  </si>
  <si>
    <t>adolescent#001</t>
  </si>
  <si>
    <t>0.05</t>
  </si>
  <si>
    <t>5_days_1000_times</t>
  </si>
  <si>
    <t>adolescent#002</t>
  </si>
  <si>
    <t>adolescent#003</t>
  </si>
  <si>
    <t>adolescent#004</t>
  </si>
  <si>
    <t>adolescent#005</t>
  </si>
  <si>
    <t>adolescent#006</t>
  </si>
  <si>
    <t>adolescent#007</t>
  </si>
  <si>
    <t>adolescent#008</t>
  </si>
  <si>
    <t>0.07</t>
  </si>
  <si>
    <t>adolescent#009</t>
  </si>
  <si>
    <t>adolescent#010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</si>
</sst>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"/>
  <sheetViews>
    <sheetView workbookViewId="0"/>
  </sheetViews>
  <sheetFormatPr defaultRowHeight="14.4" x14ac:dyDescent="0.3"/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">
      <c r="A2">
        <v>0.54166666666666674</v>
      </c>
      <c r="B2">
        <v>0.79166666666666674</v>
      </c>
      <c r="C2">
        <v>4.416666666666667</v>
      </c>
      <c r="D2">
        <v>4.3333333333333339</v>
      </c>
      <c r="E2">
        <v>11.20833333333333</v>
      </c>
      <c r="F2">
        <v>46.666666666666657</v>
      </c>
      <c r="G2">
        <v>14.08333333333333</v>
      </c>
      <c r="H2">
        <v>13.20833333333333</v>
      </c>
      <c r="I2">
        <v>3.125</v>
      </c>
      <c r="J2">
        <v>1.625</v>
      </c>
      <c r="K2">
        <v>0</v>
      </c>
      <c r="L2">
        <v>-1374.9617748589981</v>
      </c>
      <c r="M2">
        <v>15.95307921460925</v>
      </c>
      <c r="N2">
        <v>19.760574327899839</v>
      </c>
      <c r="O2">
        <v>18.88963934662798</v>
      </c>
      <c r="P2">
        <v>22.145371174543861</v>
      </c>
      <c r="Q2">
        <v>34.84271856123722</v>
      </c>
      <c r="R2">
        <v>29.679921870294269</v>
      </c>
      <c r="S2" t="s">
        <v>26</v>
      </c>
      <c r="T2" t="s">
        <v>27</v>
      </c>
      <c r="U2">
        <v>1024</v>
      </c>
      <c r="V2">
        <v>1024</v>
      </c>
      <c r="W2">
        <v>2400</v>
      </c>
      <c r="X2">
        <v>1</v>
      </c>
      <c r="Y2" t="s">
        <v>28</v>
      </c>
      <c r="Z2">
        <v>20.99214148521423</v>
      </c>
    </row>
    <row r="3" spans="1:26" x14ac:dyDescent="0.3">
      <c r="A3">
        <v>0.25</v>
      </c>
      <c r="B3">
        <v>1.25</v>
      </c>
      <c r="C3">
        <v>2.208333333333333</v>
      </c>
      <c r="D3">
        <v>3.5</v>
      </c>
      <c r="E3">
        <v>13.91666666666667</v>
      </c>
      <c r="F3">
        <v>43.166666666666657</v>
      </c>
      <c r="G3">
        <v>14.83333333333333</v>
      </c>
      <c r="H3">
        <v>16.666666666666661</v>
      </c>
      <c r="I3">
        <v>4.208333333333333</v>
      </c>
      <c r="J3">
        <v>0</v>
      </c>
      <c r="K3">
        <v>0</v>
      </c>
      <c r="L3">
        <v>-307.76759845560468</v>
      </c>
      <c r="M3">
        <v>13.97604452530909</v>
      </c>
      <c r="N3">
        <v>17.57230563842738</v>
      </c>
      <c r="O3">
        <v>19.814587757042659</v>
      </c>
      <c r="P3">
        <v>20.12288309668083</v>
      </c>
      <c r="Q3">
        <v>33.790632282351751</v>
      </c>
      <c r="R3">
        <v>26.715470229307019</v>
      </c>
      <c r="S3" t="s">
        <v>26</v>
      </c>
      <c r="T3" t="s">
        <v>27</v>
      </c>
      <c r="U3">
        <v>1024</v>
      </c>
      <c r="V3">
        <v>1024</v>
      </c>
      <c r="W3">
        <v>2400</v>
      </c>
      <c r="X3">
        <v>2</v>
      </c>
      <c r="Y3" t="s">
        <v>29</v>
      </c>
      <c r="Z3">
        <v>20.752465009689331</v>
      </c>
    </row>
    <row r="4" spans="1:26" x14ac:dyDescent="0.3">
      <c r="A4">
        <v>0.25</v>
      </c>
      <c r="B4">
        <v>0.95833333333333326</v>
      </c>
      <c r="C4">
        <v>1.791666666666667</v>
      </c>
      <c r="D4">
        <v>5.291666666666667</v>
      </c>
      <c r="E4">
        <v>10.95833333333333</v>
      </c>
      <c r="F4">
        <v>38.083333333333343</v>
      </c>
      <c r="G4">
        <v>13.79166666666667</v>
      </c>
      <c r="H4">
        <v>24.291666666666671</v>
      </c>
      <c r="I4">
        <v>4.583333333333333</v>
      </c>
      <c r="J4">
        <v>0</v>
      </c>
      <c r="K4">
        <v>0</v>
      </c>
      <c r="L4">
        <v>-2323.0227502660332</v>
      </c>
      <c r="M4">
        <v>14.971781550684319</v>
      </c>
      <c r="N4">
        <v>17.1681893496627</v>
      </c>
      <c r="O4">
        <v>22.49946639056467</v>
      </c>
      <c r="P4">
        <v>20.115671744275939</v>
      </c>
      <c r="Q4">
        <v>37.47124794124899</v>
      </c>
      <c r="R4">
        <v>26.445925494664259</v>
      </c>
      <c r="S4" t="s">
        <v>26</v>
      </c>
      <c r="T4" t="s">
        <v>27</v>
      </c>
      <c r="U4">
        <v>1024</v>
      </c>
      <c r="V4">
        <v>1024</v>
      </c>
      <c r="W4">
        <v>2400</v>
      </c>
      <c r="X4">
        <v>3</v>
      </c>
      <c r="Y4" t="s">
        <v>30</v>
      </c>
      <c r="Z4">
        <v>21.006850719451901</v>
      </c>
    </row>
    <row r="5" spans="1:26" x14ac:dyDescent="0.3">
      <c r="A5">
        <v>0</v>
      </c>
      <c r="B5">
        <v>0.87500000000000011</v>
      </c>
      <c r="C5">
        <v>3.041666666666667</v>
      </c>
      <c r="D5">
        <v>5.083333333333333</v>
      </c>
      <c r="E5">
        <v>8.9166666666666679</v>
      </c>
      <c r="F5">
        <v>51.083333333333343</v>
      </c>
      <c r="G5">
        <v>14.95833333333333</v>
      </c>
      <c r="H5">
        <v>10.83333333333333</v>
      </c>
      <c r="I5">
        <v>5.2083333333333339</v>
      </c>
      <c r="J5">
        <v>0</v>
      </c>
      <c r="K5">
        <v>0</v>
      </c>
      <c r="L5">
        <v>-4269.1632152214597</v>
      </c>
      <c r="M5">
        <v>13.71373493363598</v>
      </c>
      <c r="N5">
        <v>16.022085446303159</v>
      </c>
      <c r="O5">
        <v>16.921344967497969</v>
      </c>
      <c r="P5">
        <v>20.795106859344919</v>
      </c>
      <c r="Q5">
        <v>30.635079901133949</v>
      </c>
      <c r="R5">
        <v>26.25154645616546</v>
      </c>
      <c r="S5" t="s">
        <v>26</v>
      </c>
      <c r="T5" t="s">
        <v>27</v>
      </c>
      <c r="U5">
        <v>1024</v>
      </c>
      <c r="V5">
        <v>1024</v>
      </c>
      <c r="W5">
        <v>2400</v>
      </c>
      <c r="X5">
        <v>4</v>
      </c>
      <c r="Y5" t="s">
        <v>31</v>
      </c>
      <c r="Z5">
        <v>21.030890226364139</v>
      </c>
    </row>
    <row r="6" spans="1:26" x14ac:dyDescent="0.3">
      <c r="A6">
        <v>0</v>
      </c>
      <c r="B6">
        <v>0.95833333333333326</v>
      </c>
      <c r="C6">
        <v>4.125</v>
      </c>
      <c r="D6">
        <v>3.208333333333333</v>
      </c>
      <c r="E6">
        <v>9.2083333333333339</v>
      </c>
      <c r="F6">
        <v>48.666666666666671</v>
      </c>
      <c r="G6">
        <v>11.625</v>
      </c>
      <c r="H6">
        <v>19.25</v>
      </c>
      <c r="I6">
        <v>2.958333333333333</v>
      </c>
      <c r="J6">
        <v>0</v>
      </c>
      <c r="K6">
        <v>0</v>
      </c>
      <c r="L6">
        <v>-1572.3429127203981</v>
      </c>
      <c r="M6">
        <v>12.605909195143269</v>
      </c>
      <c r="N6">
        <v>17.197400784725939</v>
      </c>
      <c r="O6">
        <v>20.371421714418741</v>
      </c>
      <c r="P6">
        <v>19.30004218855688</v>
      </c>
      <c r="Q6">
        <v>32.977330909562014</v>
      </c>
      <c r="R6">
        <v>25.850381471664349</v>
      </c>
      <c r="S6" t="s">
        <v>26</v>
      </c>
      <c r="T6" t="s">
        <v>27</v>
      </c>
      <c r="U6">
        <v>1024</v>
      </c>
      <c r="V6">
        <v>1024</v>
      </c>
      <c r="W6">
        <v>2400</v>
      </c>
      <c r="X6">
        <v>5</v>
      </c>
      <c r="Y6" t="s">
        <v>32</v>
      </c>
      <c r="Z6">
        <v>20.785928726196289</v>
      </c>
    </row>
    <row r="7" spans="1:26" x14ac:dyDescent="0.3">
      <c r="A7">
        <v>0.125</v>
      </c>
      <c r="B7">
        <v>1.166666666666667</v>
      </c>
      <c r="C7">
        <v>3.291666666666667</v>
      </c>
      <c r="D7">
        <v>4.083333333333333</v>
      </c>
      <c r="E7">
        <v>9.125</v>
      </c>
      <c r="F7">
        <v>48.875</v>
      </c>
      <c r="G7">
        <v>17.625</v>
      </c>
      <c r="H7">
        <v>15.70833333333333</v>
      </c>
      <c r="I7">
        <v>0</v>
      </c>
      <c r="J7">
        <v>0</v>
      </c>
      <c r="K7">
        <v>0</v>
      </c>
      <c r="L7">
        <v>-154.8014945638738</v>
      </c>
      <c r="M7">
        <v>15.36373443100258</v>
      </c>
      <c r="N7">
        <v>18.863866311622381</v>
      </c>
      <c r="O7">
        <v>13.32390657357961</v>
      </c>
      <c r="P7">
        <v>13.63165120972937</v>
      </c>
      <c r="Q7">
        <v>28.68764100458219</v>
      </c>
      <c r="R7">
        <v>23.273748450270709</v>
      </c>
      <c r="S7" t="s">
        <v>26</v>
      </c>
      <c r="T7" t="s">
        <v>27</v>
      </c>
      <c r="U7">
        <v>1024</v>
      </c>
      <c r="V7">
        <v>1024</v>
      </c>
      <c r="W7">
        <v>2400</v>
      </c>
      <c r="X7">
        <v>6</v>
      </c>
      <c r="Y7" t="s">
        <v>33</v>
      </c>
      <c r="Z7">
        <v>21.174033880233761</v>
      </c>
    </row>
    <row r="8" spans="1:26" x14ac:dyDescent="0.3">
      <c r="A8">
        <v>0.91666666666666663</v>
      </c>
      <c r="B8">
        <v>2.25</v>
      </c>
      <c r="C8">
        <v>2.416666666666667</v>
      </c>
      <c r="D8">
        <v>2.458333333333333</v>
      </c>
      <c r="E8">
        <v>8.625</v>
      </c>
      <c r="F8">
        <v>43.833333333333343</v>
      </c>
      <c r="G8">
        <v>18.833333333333329</v>
      </c>
      <c r="H8">
        <v>20.666666666666671</v>
      </c>
      <c r="I8">
        <v>0</v>
      </c>
      <c r="J8">
        <v>0</v>
      </c>
      <c r="K8">
        <v>0</v>
      </c>
      <c r="L8">
        <v>-108.3151917313789</v>
      </c>
      <c r="M8">
        <v>16.40851530979289</v>
      </c>
      <c r="N8">
        <v>24.155941999402732</v>
      </c>
      <c r="O8">
        <v>15.997772444330311</v>
      </c>
      <c r="P8">
        <v>13.51862547033152</v>
      </c>
      <c r="Q8">
        <v>32.406287754123198</v>
      </c>
      <c r="R8">
        <v>27.68145170480777</v>
      </c>
      <c r="S8" t="s">
        <v>26</v>
      </c>
      <c r="T8" t="s">
        <v>27</v>
      </c>
      <c r="U8">
        <v>1024</v>
      </c>
      <c r="V8">
        <v>1024</v>
      </c>
      <c r="W8">
        <v>2400</v>
      </c>
      <c r="X8">
        <v>7</v>
      </c>
      <c r="Y8" t="s">
        <v>34</v>
      </c>
      <c r="Z8">
        <v>21.139288187026981</v>
      </c>
    </row>
    <row r="9" spans="1:26" x14ac:dyDescent="0.3">
      <c r="A9">
        <v>0.79166666666666674</v>
      </c>
      <c r="B9">
        <v>1.291666666666667</v>
      </c>
      <c r="C9">
        <v>5.6666666666666661</v>
      </c>
      <c r="D9">
        <v>5.166666666666667</v>
      </c>
      <c r="E9">
        <v>7.75</v>
      </c>
      <c r="F9">
        <v>42.208333333333329</v>
      </c>
      <c r="G9">
        <v>19.958333333333329</v>
      </c>
      <c r="H9">
        <v>16.583333333333329</v>
      </c>
      <c r="I9">
        <v>0.58333333333333337</v>
      </c>
      <c r="J9">
        <v>0</v>
      </c>
      <c r="K9">
        <v>0</v>
      </c>
      <c r="L9">
        <v>-1664.684785524033</v>
      </c>
      <c r="M9">
        <v>20.141216366956201</v>
      </c>
      <c r="N9">
        <v>22.517597636382089</v>
      </c>
      <c r="O9">
        <v>15.295235802305429</v>
      </c>
      <c r="P9">
        <v>14.79965407754506</v>
      </c>
      <c r="Q9">
        <v>35.436452169261628</v>
      </c>
      <c r="R9">
        <v>26.945722557188859</v>
      </c>
      <c r="S9" t="s">
        <v>26</v>
      </c>
      <c r="T9" t="s">
        <v>27</v>
      </c>
      <c r="U9">
        <v>1024</v>
      </c>
      <c r="V9">
        <v>1024</v>
      </c>
      <c r="W9">
        <v>2400</v>
      </c>
      <c r="X9">
        <v>8</v>
      </c>
      <c r="Y9" t="s">
        <v>35</v>
      </c>
      <c r="Z9">
        <v>20.996587991714481</v>
      </c>
    </row>
    <row r="10" spans="1:26" x14ac:dyDescent="0.3">
      <c r="A10">
        <v>0</v>
      </c>
      <c r="B10">
        <v>1.041666666666667</v>
      </c>
      <c r="C10">
        <v>2.291666666666667</v>
      </c>
      <c r="D10">
        <v>4.708333333333333</v>
      </c>
      <c r="E10">
        <v>12.41666666666667</v>
      </c>
      <c r="F10">
        <v>44.5</v>
      </c>
      <c r="G10">
        <v>13.375</v>
      </c>
      <c r="H10">
        <v>19.333333333333329</v>
      </c>
      <c r="I10">
        <v>2.333333333333333</v>
      </c>
      <c r="J10">
        <v>0</v>
      </c>
      <c r="K10">
        <v>0</v>
      </c>
      <c r="L10">
        <v>-336.95493826746878</v>
      </c>
      <c r="M10">
        <v>13.730701655287421</v>
      </c>
      <c r="N10">
        <v>15.61214666804764</v>
      </c>
      <c r="O10">
        <v>18.86753733540095</v>
      </c>
      <c r="P10">
        <v>18.708251510333589</v>
      </c>
      <c r="Q10">
        <v>32.59823899068838</v>
      </c>
      <c r="R10">
        <v>24.366735484231992</v>
      </c>
      <c r="S10" t="s">
        <v>26</v>
      </c>
      <c r="T10" t="s">
        <v>27</v>
      </c>
      <c r="U10">
        <v>1024</v>
      </c>
      <c r="V10">
        <v>1024</v>
      </c>
      <c r="W10">
        <v>2400</v>
      </c>
      <c r="X10">
        <v>9</v>
      </c>
      <c r="Y10" t="s">
        <v>36</v>
      </c>
      <c r="Z10">
        <v>20.92136025428772</v>
      </c>
    </row>
    <row r="11" spans="1:26" x14ac:dyDescent="0.3">
      <c r="A11">
        <v>1.75</v>
      </c>
      <c r="B11">
        <v>1.666666666666667</v>
      </c>
      <c r="C11">
        <v>2.958333333333333</v>
      </c>
      <c r="D11">
        <v>4.125</v>
      </c>
      <c r="E11">
        <v>8.5833333333333339</v>
      </c>
      <c r="F11">
        <v>35.833333333333343</v>
      </c>
      <c r="G11">
        <v>24.416666666666671</v>
      </c>
      <c r="H11">
        <v>15.70833333333333</v>
      </c>
      <c r="I11">
        <v>4.75</v>
      </c>
      <c r="J11">
        <v>0.20833333333333329</v>
      </c>
      <c r="K11">
        <v>0</v>
      </c>
      <c r="L11">
        <v>-22.282778291663131</v>
      </c>
      <c r="M11">
        <v>21.871345015522049</v>
      </c>
      <c r="N11">
        <v>26.729172995122731</v>
      </c>
      <c r="O11">
        <v>19.03256190930022</v>
      </c>
      <c r="P11">
        <v>18.952313275340948</v>
      </c>
      <c r="Q11">
        <v>40.903906924822273</v>
      </c>
      <c r="R11">
        <v>32.766428970668493</v>
      </c>
      <c r="S11" t="s">
        <v>26</v>
      </c>
      <c r="T11" t="s">
        <v>27</v>
      </c>
      <c r="U11">
        <v>1024</v>
      </c>
      <c r="V11">
        <v>1024</v>
      </c>
      <c r="W11">
        <v>2400</v>
      </c>
      <c r="X11">
        <v>10</v>
      </c>
      <c r="Y11" t="s">
        <v>37</v>
      </c>
      <c r="Z11">
        <v>21.58219218254089</v>
      </c>
    </row>
    <row r="12" spans="1:26" x14ac:dyDescent="0.3">
      <c r="A12">
        <v>0</v>
      </c>
      <c r="B12">
        <v>0.33333333333333343</v>
      </c>
      <c r="C12">
        <v>4.083333333333333</v>
      </c>
      <c r="D12">
        <v>6.4583333333333339</v>
      </c>
      <c r="E12">
        <v>10.16666666666667</v>
      </c>
      <c r="F12">
        <v>45.708333333333343</v>
      </c>
      <c r="G12">
        <v>13.25</v>
      </c>
      <c r="H12">
        <v>16.916666666666661</v>
      </c>
      <c r="I12">
        <v>1.166666666666667</v>
      </c>
      <c r="J12">
        <v>1.916666666666667</v>
      </c>
      <c r="K12">
        <v>0</v>
      </c>
      <c r="L12">
        <v>-1329.104729762729</v>
      </c>
      <c r="M12">
        <v>14.116696102116279</v>
      </c>
      <c r="N12">
        <v>15.12571694695554</v>
      </c>
      <c r="O12">
        <v>19.338718481748021</v>
      </c>
      <c r="P12">
        <v>21.446174926435219</v>
      </c>
      <c r="Q12">
        <v>33.455414583864297</v>
      </c>
      <c r="R12">
        <v>26.243584590041749</v>
      </c>
      <c r="S12" t="s">
        <v>26</v>
      </c>
      <c r="T12" t="s">
        <v>27</v>
      </c>
      <c r="U12">
        <v>1024</v>
      </c>
      <c r="V12">
        <v>1024</v>
      </c>
      <c r="W12">
        <v>2400</v>
      </c>
      <c r="X12">
        <v>11</v>
      </c>
      <c r="Y12" t="s">
        <v>38</v>
      </c>
      <c r="Z12">
        <v>21.086018562316891</v>
      </c>
    </row>
    <row r="13" spans="1:26" x14ac:dyDescent="0.3">
      <c r="A13">
        <v>0</v>
      </c>
      <c r="B13">
        <v>0.41666666666666669</v>
      </c>
      <c r="C13">
        <v>2.208333333333333</v>
      </c>
      <c r="D13">
        <v>5.5</v>
      </c>
      <c r="E13">
        <v>10.54166666666667</v>
      </c>
      <c r="F13">
        <v>39.625</v>
      </c>
      <c r="G13">
        <v>17.75</v>
      </c>
      <c r="H13">
        <v>18.375</v>
      </c>
      <c r="I13">
        <v>4.833333333333333</v>
      </c>
      <c r="J13">
        <v>0.75</v>
      </c>
      <c r="K13">
        <v>0</v>
      </c>
      <c r="L13">
        <v>-1768.8448285653769</v>
      </c>
      <c r="M13">
        <v>13.17642888192219</v>
      </c>
      <c r="N13">
        <v>13.969214875260141</v>
      </c>
      <c r="O13">
        <v>20.801440793156591</v>
      </c>
      <c r="P13">
        <v>20.661310426189829</v>
      </c>
      <c r="Q13">
        <v>33.977869675078793</v>
      </c>
      <c r="R13">
        <v>24.940503458402151</v>
      </c>
      <c r="S13" t="s">
        <v>26</v>
      </c>
      <c r="T13" t="s">
        <v>27</v>
      </c>
      <c r="U13">
        <v>1024</v>
      </c>
      <c r="V13">
        <v>1024</v>
      </c>
      <c r="W13">
        <v>2400</v>
      </c>
      <c r="X13">
        <v>12</v>
      </c>
      <c r="Y13" t="s">
        <v>39</v>
      </c>
      <c r="Z13">
        <v>21.139565467834469</v>
      </c>
    </row>
    <row r="14" spans="1:26" x14ac:dyDescent="0.3">
      <c r="A14">
        <v>0.41666666666666669</v>
      </c>
      <c r="B14">
        <v>1.416666666666667</v>
      </c>
      <c r="C14">
        <v>3.208333333333333</v>
      </c>
      <c r="D14">
        <v>6.3333333333333339</v>
      </c>
      <c r="E14">
        <v>10.70833333333333</v>
      </c>
      <c r="F14">
        <v>39.875</v>
      </c>
      <c r="G14">
        <v>17.208333333333329</v>
      </c>
      <c r="H14">
        <v>18.458333333333329</v>
      </c>
      <c r="I14">
        <v>2.375</v>
      </c>
      <c r="J14">
        <v>0</v>
      </c>
      <c r="K14">
        <v>0</v>
      </c>
      <c r="L14">
        <v>-398.54597339128742</v>
      </c>
      <c r="M14">
        <v>17.530453037310998</v>
      </c>
      <c r="N14">
        <v>20.44052309077933</v>
      </c>
      <c r="O14">
        <v>18.178366636745729</v>
      </c>
      <c r="P14">
        <v>18.01160780412172</v>
      </c>
      <c r="Q14">
        <v>35.708819674056727</v>
      </c>
      <c r="R14">
        <v>27.243953456027288</v>
      </c>
      <c r="S14" t="s">
        <v>26</v>
      </c>
      <c r="T14" t="s">
        <v>27</v>
      </c>
      <c r="U14">
        <v>1024</v>
      </c>
      <c r="V14">
        <v>1024</v>
      </c>
      <c r="W14">
        <v>2400</v>
      </c>
      <c r="X14">
        <v>13</v>
      </c>
      <c r="Y14" t="s">
        <v>40</v>
      </c>
      <c r="Z14">
        <v>20.989202499389648</v>
      </c>
    </row>
    <row r="15" spans="1:26" x14ac:dyDescent="0.3">
      <c r="A15">
        <v>0.16666666666666671</v>
      </c>
      <c r="B15">
        <v>0.625</v>
      </c>
      <c r="C15">
        <v>1.5</v>
      </c>
      <c r="D15">
        <v>4.083333333333333</v>
      </c>
      <c r="E15">
        <v>11.75</v>
      </c>
      <c r="F15">
        <v>52.583333333333343</v>
      </c>
      <c r="G15">
        <v>18.666666666666671</v>
      </c>
      <c r="H15">
        <v>10.625</v>
      </c>
      <c r="I15">
        <v>0</v>
      </c>
      <c r="J15">
        <v>0</v>
      </c>
      <c r="K15">
        <v>0</v>
      </c>
      <c r="L15">
        <v>-1511.222868550776</v>
      </c>
      <c r="M15">
        <v>11.922031986273851</v>
      </c>
      <c r="N15">
        <v>14.705684869771209</v>
      </c>
      <c r="O15">
        <v>11.452514405319089</v>
      </c>
      <c r="P15">
        <v>11.90899180976583</v>
      </c>
      <c r="Q15">
        <v>23.37454639159294</v>
      </c>
      <c r="R15">
        <v>18.92303499479107</v>
      </c>
      <c r="S15" t="s">
        <v>26</v>
      </c>
      <c r="T15" t="s">
        <v>27</v>
      </c>
      <c r="U15">
        <v>1024</v>
      </c>
      <c r="V15">
        <v>1024</v>
      </c>
      <c r="W15">
        <v>2400</v>
      </c>
      <c r="X15">
        <v>14</v>
      </c>
      <c r="Y15" t="s">
        <v>41</v>
      </c>
      <c r="Z15">
        <v>20.725692749023441</v>
      </c>
    </row>
    <row r="16" spans="1:26" x14ac:dyDescent="0.3">
      <c r="A16">
        <v>0.33333333333333343</v>
      </c>
      <c r="B16">
        <v>3.166666666666667</v>
      </c>
      <c r="C16">
        <v>4.75</v>
      </c>
      <c r="D16">
        <v>3.625</v>
      </c>
      <c r="E16">
        <v>10.08333333333333</v>
      </c>
      <c r="F16">
        <v>46.208333333333343</v>
      </c>
      <c r="G16">
        <v>17.375</v>
      </c>
      <c r="H16">
        <v>14.45833333333333</v>
      </c>
      <c r="I16">
        <v>0</v>
      </c>
      <c r="J16">
        <v>0</v>
      </c>
      <c r="K16">
        <v>0</v>
      </c>
      <c r="L16">
        <v>-2355.9695914731069</v>
      </c>
      <c r="M16">
        <v>18.465938684062699</v>
      </c>
      <c r="N16">
        <v>22.710609047258579</v>
      </c>
      <c r="O16">
        <v>13.151217220782989</v>
      </c>
      <c r="P16">
        <v>12.31150216522499</v>
      </c>
      <c r="Q16">
        <v>31.617155904845699</v>
      </c>
      <c r="R16">
        <v>25.83301857820264</v>
      </c>
      <c r="S16" t="s">
        <v>26</v>
      </c>
      <c r="T16" t="s">
        <v>27</v>
      </c>
      <c r="U16">
        <v>1024</v>
      </c>
      <c r="V16">
        <v>1024</v>
      </c>
      <c r="W16">
        <v>2400</v>
      </c>
      <c r="X16">
        <v>15</v>
      </c>
      <c r="Y16" t="s">
        <v>42</v>
      </c>
      <c r="Z16">
        <v>21.030700206756588</v>
      </c>
    </row>
    <row r="17" spans="1:26" x14ac:dyDescent="0.3">
      <c r="A17">
        <v>0.79166666666666674</v>
      </c>
      <c r="B17">
        <v>2.25</v>
      </c>
      <c r="C17">
        <v>5.5</v>
      </c>
      <c r="D17">
        <v>2.625</v>
      </c>
      <c r="E17">
        <v>6.958333333333333</v>
      </c>
      <c r="F17">
        <v>46.083333333333329</v>
      </c>
      <c r="G17">
        <v>18.875</v>
      </c>
      <c r="H17">
        <v>12.58333333333333</v>
      </c>
      <c r="I17">
        <v>4.1666666666666661</v>
      </c>
      <c r="J17">
        <v>0.16666666666666671</v>
      </c>
      <c r="K17">
        <v>0</v>
      </c>
      <c r="L17">
        <v>-204.76025374423469</v>
      </c>
      <c r="M17">
        <v>21.62052780668445</v>
      </c>
      <c r="N17">
        <v>25.234302808386541</v>
      </c>
      <c r="O17">
        <v>16.580155963313889</v>
      </c>
      <c r="P17">
        <v>18.699484777022359</v>
      </c>
      <c r="Q17">
        <v>38.200683769998342</v>
      </c>
      <c r="R17">
        <v>31.407654626721751</v>
      </c>
      <c r="S17" t="s">
        <v>26</v>
      </c>
      <c r="T17" t="s">
        <v>27</v>
      </c>
      <c r="U17">
        <v>1024</v>
      </c>
      <c r="V17">
        <v>1024</v>
      </c>
      <c r="W17">
        <v>2400</v>
      </c>
      <c r="X17">
        <v>16</v>
      </c>
      <c r="Y17" t="s">
        <v>43</v>
      </c>
      <c r="Z17">
        <v>21.2243218421936</v>
      </c>
    </row>
    <row r="18" spans="1:26" x14ac:dyDescent="0.3">
      <c r="A18">
        <v>0</v>
      </c>
      <c r="B18">
        <v>0.58333333333333337</v>
      </c>
      <c r="C18">
        <v>2.166666666666667</v>
      </c>
      <c r="D18">
        <v>3.708333333333333</v>
      </c>
      <c r="E18">
        <v>9.5</v>
      </c>
      <c r="F18">
        <v>48.875</v>
      </c>
      <c r="G18">
        <v>15.04166666666667</v>
      </c>
      <c r="H18">
        <v>11.16666666666667</v>
      </c>
      <c r="I18">
        <v>6.041666666666667</v>
      </c>
      <c r="J18">
        <v>2.916666666666667</v>
      </c>
      <c r="K18">
        <v>0</v>
      </c>
      <c r="L18">
        <v>121.9752253335416</v>
      </c>
      <c r="M18">
        <v>11.279430172879451</v>
      </c>
      <c r="N18">
        <v>13.62433871957696</v>
      </c>
      <c r="O18">
        <v>21.07690716830907</v>
      </c>
      <c r="P18">
        <v>24.691524990614571</v>
      </c>
      <c r="Q18">
        <v>32.356337341188507</v>
      </c>
      <c r="R18">
        <v>28.200957641681381</v>
      </c>
      <c r="S18" t="s">
        <v>26</v>
      </c>
      <c r="T18" t="s">
        <v>27</v>
      </c>
      <c r="U18">
        <v>1024</v>
      </c>
      <c r="V18">
        <v>1024</v>
      </c>
      <c r="W18">
        <v>2400</v>
      </c>
      <c r="X18">
        <v>17</v>
      </c>
      <c r="Y18" t="s">
        <v>44</v>
      </c>
      <c r="Z18">
        <v>21.020843744277951</v>
      </c>
    </row>
    <row r="19" spans="1:26" x14ac:dyDescent="0.3">
      <c r="A19">
        <v>0.66666666666666674</v>
      </c>
      <c r="B19">
        <v>1.875</v>
      </c>
      <c r="C19">
        <v>5.375</v>
      </c>
      <c r="D19">
        <v>5.166666666666667</v>
      </c>
      <c r="E19">
        <v>9.375</v>
      </c>
      <c r="F19">
        <v>35.166666666666671</v>
      </c>
      <c r="G19">
        <v>16.791666666666661</v>
      </c>
      <c r="H19">
        <v>22.541666666666661</v>
      </c>
      <c r="I19">
        <v>3.041666666666667</v>
      </c>
      <c r="J19">
        <v>0</v>
      </c>
      <c r="K19">
        <v>0</v>
      </c>
      <c r="L19">
        <v>-2035.170539969936</v>
      </c>
      <c r="M19">
        <v>21.005506880495108</v>
      </c>
      <c r="N19">
        <v>22.7489941200609</v>
      </c>
      <c r="O19">
        <v>21.094721535890869</v>
      </c>
      <c r="P19">
        <v>18.572624142928909</v>
      </c>
      <c r="Q19">
        <v>42.100228416385981</v>
      </c>
      <c r="R19">
        <v>29.367653992599941</v>
      </c>
      <c r="S19" t="s">
        <v>26</v>
      </c>
      <c r="T19" t="s">
        <v>27</v>
      </c>
      <c r="U19">
        <v>1024</v>
      </c>
      <c r="V19">
        <v>1024</v>
      </c>
      <c r="W19">
        <v>2400</v>
      </c>
      <c r="X19">
        <v>18</v>
      </c>
      <c r="Y19" t="s">
        <v>45</v>
      </c>
      <c r="Z19">
        <v>20.959150791168209</v>
      </c>
    </row>
    <row r="20" spans="1:26" x14ac:dyDescent="0.3">
      <c r="A20">
        <v>1.5</v>
      </c>
      <c r="B20">
        <v>1.333333333333333</v>
      </c>
      <c r="C20">
        <v>3.375</v>
      </c>
      <c r="D20">
        <v>3.916666666666667</v>
      </c>
      <c r="E20">
        <v>9.2916666666666661</v>
      </c>
      <c r="F20">
        <v>40.416666666666657</v>
      </c>
      <c r="G20">
        <v>21.458333333333329</v>
      </c>
      <c r="H20">
        <v>14.75</v>
      </c>
      <c r="I20">
        <v>3.958333333333333</v>
      </c>
      <c r="J20">
        <v>0</v>
      </c>
      <c r="K20">
        <v>0</v>
      </c>
      <c r="L20">
        <v>-229.8399878450723</v>
      </c>
      <c r="M20">
        <v>19.811845416796139</v>
      </c>
      <c r="N20">
        <v>24.715788447157468</v>
      </c>
      <c r="O20">
        <v>18.140579410571601</v>
      </c>
      <c r="P20">
        <v>18.225543225389519</v>
      </c>
      <c r="Q20">
        <v>37.952424827367743</v>
      </c>
      <c r="R20">
        <v>30.708966515094321</v>
      </c>
      <c r="S20" t="s">
        <v>26</v>
      </c>
      <c r="T20" t="s">
        <v>27</v>
      </c>
      <c r="U20">
        <v>1024</v>
      </c>
      <c r="V20">
        <v>1024</v>
      </c>
      <c r="W20">
        <v>2400</v>
      </c>
      <c r="X20">
        <v>19</v>
      </c>
      <c r="Y20" t="s">
        <v>46</v>
      </c>
      <c r="Z20">
        <v>21.120588302612301</v>
      </c>
    </row>
    <row r="21" spans="1:26" x14ac:dyDescent="0.3">
      <c r="A21">
        <v>0</v>
      </c>
      <c r="B21">
        <v>0.29166666666666669</v>
      </c>
      <c r="C21">
        <v>2</v>
      </c>
      <c r="D21">
        <v>4.75</v>
      </c>
      <c r="E21">
        <v>11.91666666666667</v>
      </c>
      <c r="F21">
        <v>40.25</v>
      </c>
      <c r="G21">
        <v>14.04166666666667</v>
      </c>
      <c r="H21">
        <v>23.458333333333329</v>
      </c>
      <c r="I21">
        <v>3.291666666666667</v>
      </c>
      <c r="J21">
        <v>0</v>
      </c>
      <c r="K21">
        <v>0</v>
      </c>
      <c r="L21">
        <v>-1657.3821746032761</v>
      </c>
      <c r="M21">
        <v>12.65401419328918</v>
      </c>
      <c r="N21">
        <v>13.346722343358421</v>
      </c>
      <c r="O21">
        <v>21.37041039822407</v>
      </c>
      <c r="P21">
        <v>19.590167875948911</v>
      </c>
      <c r="Q21">
        <v>34.024424591513252</v>
      </c>
      <c r="R21">
        <v>23.70463403468958</v>
      </c>
      <c r="S21" t="s">
        <v>26</v>
      </c>
      <c r="T21" t="s">
        <v>27</v>
      </c>
      <c r="U21">
        <v>1024</v>
      </c>
      <c r="V21">
        <v>1024</v>
      </c>
      <c r="W21">
        <v>2400</v>
      </c>
      <c r="X21">
        <v>20</v>
      </c>
      <c r="Y21" t="s">
        <v>47</v>
      </c>
      <c r="Z21">
        <v>20.898050308227539</v>
      </c>
    </row>
    <row r="22" spans="1:26" x14ac:dyDescent="0.3">
      <c r="A22">
        <v>0.375</v>
      </c>
      <c r="B22">
        <v>2.875</v>
      </c>
      <c r="C22">
        <v>3.291666666666667</v>
      </c>
      <c r="D22">
        <v>3.708333333333333</v>
      </c>
      <c r="E22">
        <v>8.0416666666666661</v>
      </c>
      <c r="F22">
        <v>42.75</v>
      </c>
      <c r="G22">
        <v>17.5</v>
      </c>
      <c r="H22">
        <v>19.041666666666671</v>
      </c>
      <c r="I22">
        <v>2.416666666666667</v>
      </c>
      <c r="J22">
        <v>0</v>
      </c>
      <c r="K22">
        <v>0</v>
      </c>
      <c r="L22">
        <v>-102.6819287284579</v>
      </c>
      <c r="M22">
        <v>19.311767241353621</v>
      </c>
      <c r="N22">
        <v>23.49028008472936</v>
      </c>
      <c r="O22">
        <v>17.923043962122879</v>
      </c>
      <c r="P22">
        <v>18.216070662892029</v>
      </c>
      <c r="Q22">
        <v>37.234811203476497</v>
      </c>
      <c r="R22">
        <v>29.725720998060051</v>
      </c>
      <c r="S22" t="s">
        <v>26</v>
      </c>
      <c r="T22" t="s">
        <v>27</v>
      </c>
      <c r="U22">
        <v>1024</v>
      </c>
      <c r="V22">
        <v>1024</v>
      </c>
      <c r="W22">
        <v>2400</v>
      </c>
      <c r="X22">
        <v>21</v>
      </c>
      <c r="Y22" t="s">
        <v>48</v>
      </c>
      <c r="Z22">
        <v>21.314500570297241</v>
      </c>
    </row>
    <row r="23" spans="1:26" x14ac:dyDescent="0.3">
      <c r="A23">
        <v>0</v>
      </c>
      <c r="B23">
        <v>1</v>
      </c>
      <c r="C23">
        <v>2.458333333333333</v>
      </c>
      <c r="D23">
        <v>5.541666666666667</v>
      </c>
      <c r="E23">
        <v>8.25</v>
      </c>
      <c r="F23">
        <v>45.041666666666671</v>
      </c>
      <c r="G23">
        <v>19.625</v>
      </c>
      <c r="H23">
        <v>15.66666666666667</v>
      </c>
      <c r="I23">
        <v>2.416666666666667</v>
      </c>
      <c r="J23">
        <v>0</v>
      </c>
      <c r="K23">
        <v>0</v>
      </c>
      <c r="L23">
        <v>92.483948386104998</v>
      </c>
      <c r="M23">
        <v>13.932674113220809</v>
      </c>
      <c r="N23">
        <v>16.821267342120539</v>
      </c>
      <c r="O23">
        <v>15.77279899221065</v>
      </c>
      <c r="P23">
        <v>16.309189812374068</v>
      </c>
      <c r="Q23">
        <v>29.705473105431459</v>
      </c>
      <c r="R23">
        <v>23.42956908120884</v>
      </c>
      <c r="S23" t="s">
        <v>26</v>
      </c>
      <c r="T23" t="s">
        <v>27</v>
      </c>
      <c r="U23">
        <v>1024</v>
      </c>
      <c r="V23">
        <v>1024</v>
      </c>
      <c r="W23">
        <v>2400</v>
      </c>
      <c r="X23">
        <v>22</v>
      </c>
      <c r="Y23" t="s">
        <v>49</v>
      </c>
      <c r="Z23">
        <v>20.958891630172729</v>
      </c>
    </row>
    <row r="24" spans="1:26" x14ac:dyDescent="0.3">
      <c r="A24">
        <v>0.41666666666666669</v>
      </c>
      <c r="B24">
        <v>1.916666666666667</v>
      </c>
      <c r="C24">
        <v>3</v>
      </c>
      <c r="D24">
        <v>2.208333333333333</v>
      </c>
      <c r="E24">
        <v>10.79166666666667</v>
      </c>
      <c r="F24">
        <v>45.666666666666657</v>
      </c>
      <c r="G24">
        <v>18.458333333333329</v>
      </c>
      <c r="H24">
        <v>13.91666666666667</v>
      </c>
      <c r="I24">
        <v>3.625</v>
      </c>
      <c r="J24">
        <v>0</v>
      </c>
      <c r="K24">
        <v>0</v>
      </c>
      <c r="L24">
        <v>-911.82929034558015</v>
      </c>
      <c r="M24">
        <v>16.046365507598509</v>
      </c>
      <c r="N24">
        <v>20.617759417979482</v>
      </c>
      <c r="O24">
        <v>17.001284055600209</v>
      </c>
      <c r="P24">
        <v>18.547049033144908</v>
      </c>
      <c r="Q24">
        <v>33.047649563198718</v>
      </c>
      <c r="R24">
        <v>27.732382358094721</v>
      </c>
      <c r="S24" t="s">
        <v>26</v>
      </c>
      <c r="T24" t="s">
        <v>27</v>
      </c>
      <c r="U24">
        <v>1024</v>
      </c>
      <c r="V24">
        <v>1024</v>
      </c>
      <c r="W24">
        <v>2400</v>
      </c>
      <c r="X24">
        <v>23</v>
      </c>
      <c r="Y24" t="s">
        <v>50</v>
      </c>
      <c r="Z24">
        <v>20.94430232048035</v>
      </c>
    </row>
    <row r="25" spans="1:26" x14ac:dyDescent="0.3">
      <c r="A25">
        <v>0</v>
      </c>
      <c r="B25">
        <v>1.166666666666667</v>
      </c>
      <c r="C25">
        <v>4.791666666666667</v>
      </c>
      <c r="D25">
        <v>4.791666666666667</v>
      </c>
      <c r="E25">
        <v>11.91666666666667</v>
      </c>
      <c r="F25">
        <v>34.833333333333343</v>
      </c>
      <c r="G25">
        <v>18.916666666666671</v>
      </c>
      <c r="H25">
        <v>16.916666666666661</v>
      </c>
      <c r="I25">
        <v>3.625</v>
      </c>
      <c r="J25">
        <v>1.041666666666667</v>
      </c>
      <c r="K25">
        <v>2</v>
      </c>
      <c r="L25">
        <v>-678.27341845847673</v>
      </c>
      <c r="M25">
        <v>17.19270819865902</v>
      </c>
      <c r="N25">
        <v>17.25477626333651</v>
      </c>
      <c r="O25">
        <v>22.855642432198689</v>
      </c>
      <c r="P25">
        <v>24.186344704940719</v>
      </c>
      <c r="Q25">
        <v>40.048350630857712</v>
      </c>
      <c r="R25">
        <v>29.71037822182705</v>
      </c>
      <c r="S25" t="s">
        <v>26</v>
      </c>
      <c r="T25" t="s">
        <v>27</v>
      </c>
      <c r="U25">
        <v>1024</v>
      </c>
      <c r="V25">
        <v>1024</v>
      </c>
      <c r="W25">
        <v>2400</v>
      </c>
      <c r="X25">
        <v>24</v>
      </c>
      <c r="Y25" t="s">
        <v>51</v>
      </c>
      <c r="Z25">
        <v>20.876427888870239</v>
      </c>
    </row>
    <row r="26" spans="1:26" x14ac:dyDescent="0.3">
      <c r="A26">
        <v>1.125</v>
      </c>
      <c r="B26">
        <v>1.291666666666667</v>
      </c>
      <c r="C26">
        <v>4.5</v>
      </c>
      <c r="D26">
        <v>4.1666666666666661</v>
      </c>
      <c r="E26">
        <v>10.66666666666667</v>
      </c>
      <c r="F26">
        <v>41</v>
      </c>
      <c r="G26">
        <v>17.208333333333329</v>
      </c>
      <c r="H26">
        <v>16.666666666666661</v>
      </c>
      <c r="I26">
        <v>3.375</v>
      </c>
      <c r="J26">
        <v>0</v>
      </c>
      <c r="K26">
        <v>0</v>
      </c>
      <c r="L26">
        <v>-2756.143275709047</v>
      </c>
      <c r="M26">
        <v>18.520541772917291</v>
      </c>
      <c r="N26">
        <v>22.33769463536877</v>
      </c>
      <c r="O26">
        <v>18.479067831218789</v>
      </c>
      <c r="P26">
        <v>18.401293936025429</v>
      </c>
      <c r="Q26">
        <v>36.999609604136083</v>
      </c>
      <c r="R26">
        <v>28.940978216760211</v>
      </c>
      <c r="S26" t="s">
        <v>26</v>
      </c>
      <c r="T26" t="s">
        <v>27</v>
      </c>
      <c r="U26">
        <v>1024</v>
      </c>
      <c r="V26">
        <v>1024</v>
      </c>
      <c r="W26">
        <v>2400</v>
      </c>
      <c r="X26">
        <v>25</v>
      </c>
      <c r="Y26" t="s">
        <v>52</v>
      </c>
      <c r="Z26">
        <v>20.746463060379028</v>
      </c>
    </row>
    <row r="27" spans="1:26" x14ac:dyDescent="0.3">
      <c r="A27">
        <v>0</v>
      </c>
      <c r="B27">
        <v>1.583333333333333</v>
      </c>
      <c r="C27">
        <v>4.625</v>
      </c>
      <c r="D27">
        <v>3.5</v>
      </c>
      <c r="E27">
        <v>8</v>
      </c>
      <c r="F27">
        <v>46.125</v>
      </c>
      <c r="G27">
        <v>22.583333333333329</v>
      </c>
      <c r="H27">
        <v>12.54166666666667</v>
      </c>
      <c r="I27">
        <v>1.041666666666667</v>
      </c>
      <c r="J27">
        <v>0</v>
      </c>
      <c r="K27">
        <v>0</v>
      </c>
      <c r="L27">
        <v>-1043.5443079699101</v>
      </c>
      <c r="M27">
        <v>14.94790689820419</v>
      </c>
      <c r="N27">
        <v>18.31637917053078</v>
      </c>
      <c r="O27">
        <v>14.68519693477281</v>
      </c>
      <c r="P27">
        <v>14.7105309375623</v>
      </c>
      <c r="Q27">
        <v>29.633103832976989</v>
      </c>
      <c r="R27">
        <v>23.492327819601691</v>
      </c>
      <c r="S27" t="s">
        <v>26</v>
      </c>
      <c r="T27" t="s">
        <v>27</v>
      </c>
      <c r="U27">
        <v>1024</v>
      </c>
      <c r="V27">
        <v>1024</v>
      </c>
      <c r="W27">
        <v>2400</v>
      </c>
      <c r="X27">
        <v>26</v>
      </c>
      <c r="Y27" t="s">
        <v>53</v>
      </c>
      <c r="Z27">
        <v>21.19032621383667</v>
      </c>
    </row>
    <row r="28" spans="1:26" x14ac:dyDescent="0.3">
      <c r="A28">
        <v>0.375</v>
      </c>
      <c r="B28">
        <v>0.66666666666666674</v>
      </c>
      <c r="C28">
        <v>2.541666666666667</v>
      </c>
      <c r="D28">
        <v>5.833333333333333</v>
      </c>
      <c r="E28">
        <v>8.3333333333333321</v>
      </c>
      <c r="F28">
        <v>48.416666666666671</v>
      </c>
      <c r="G28">
        <v>14.66666666666667</v>
      </c>
      <c r="H28">
        <v>16.583333333333329</v>
      </c>
      <c r="I28">
        <v>1.625</v>
      </c>
      <c r="J28">
        <v>0.95833333333333326</v>
      </c>
      <c r="K28">
        <v>0</v>
      </c>
      <c r="L28">
        <v>-1811.3317583102289</v>
      </c>
      <c r="M28">
        <v>14.824787313988789</v>
      </c>
      <c r="N28">
        <v>18.258600925527869</v>
      </c>
      <c r="O28">
        <v>16.291161600574458</v>
      </c>
      <c r="P28">
        <v>18.30662869068582</v>
      </c>
      <c r="Q28">
        <v>31.115948914563251</v>
      </c>
      <c r="R28">
        <v>25.85554412067804</v>
      </c>
      <c r="S28" t="s">
        <v>26</v>
      </c>
      <c r="T28" t="s">
        <v>27</v>
      </c>
      <c r="U28">
        <v>1024</v>
      </c>
      <c r="V28">
        <v>1024</v>
      </c>
      <c r="W28">
        <v>2400</v>
      </c>
      <c r="X28">
        <v>27</v>
      </c>
      <c r="Y28" t="s">
        <v>54</v>
      </c>
      <c r="Z28">
        <v>21.481024742126461</v>
      </c>
    </row>
    <row r="29" spans="1:26" x14ac:dyDescent="0.3">
      <c r="A29">
        <v>0</v>
      </c>
      <c r="B29">
        <v>0.83333333333333337</v>
      </c>
      <c r="C29">
        <v>1.291666666666667</v>
      </c>
      <c r="D29">
        <v>4.125</v>
      </c>
      <c r="E29">
        <v>10.79166666666667</v>
      </c>
      <c r="F29">
        <v>49.5</v>
      </c>
      <c r="G29">
        <v>12.66666666666667</v>
      </c>
      <c r="H29">
        <v>19.75</v>
      </c>
      <c r="I29">
        <v>1.041666666666667</v>
      </c>
      <c r="J29">
        <v>0</v>
      </c>
      <c r="K29">
        <v>0</v>
      </c>
      <c r="L29">
        <v>2.7792468012396512</v>
      </c>
      <c r="M29">
        <v>11.08634027315056</v>
      </c>
      <c r="N29">
        <v>14.31548499933761</v>
      </c>
      <c r="O29">
        <v>16.578255680165739</v>
      </c>
      <c r="P29">
        <v>16.25128440411461</v>
      </c>
      <c r="Q29">
        <v>27.664595953316301</v>
      </c>
      <c r="R29">
        <v>21.65727027004278</v>
      </c>
      <c r="S29" t="s">
        <v>26</v>
      </c>
      <c r="T29" t="s">
        <v>27</v>
      </c>
      <c r="U29">
        <v>1024</v>
      </c>
      <c r="V29">
        <v>1024</v>
      </c>
      <c r="W29">
        <v>2400</v>
      </c>
      <c r="X29">
        <v>28</v>
      </c>
      <c r="Y29" t="s">
        <v>55</v>
      </c>
      <c r="Z29">
        <v>21.150464296340939</v>
      </c>
    </row>
    <row r="30" spans="1:26" x14ac:dyDescent="0.3">
      <c r="A30">
        <v>0.375</v>
      </c>
      <c r="B30">
        <v>3.375</v>
      </c>
      <c r="C30">
        <v>4.708333333333333</v>
      </c>
      <c r="D30">
        <v>5.583333333333333</v>
      </c>
      <c r="E30">
        <v>7.333333333333333</v>
      </c>
      <c r="F30">
        <v>41.083333333333343</v>
      </c>
      <c r="G30">
        <v>17.708333333333339</v>
      </c>
      <c r="H30">
        <v>16.458333333333329</v>
      </c>
      <c r="I30">
        <v>3.375</v>
      </c>
      <c r="J30">
        <v>0</v>
      </c>
      <c r="K30">
        <v>0</v>
      </c>
      <c r="L30">
        <v>-3705.506196709397</v>
      </c>
      <c r="M30">
        <v>21.306494472666412</v>
      </c>
      <c r="N30">
        <v>23.63902113429506</v>
      </c>
      <c r="O30">
        <v>18.9812824421588</v>
      </c>
      <c r="P30">
        <v>19.10751761118296</v>
      </c>
      <c r="Q30">
        <v>40.287776914825223</v>
      </c>
      <c r="R30">
        <v>30.395732421662679</v>
      </c>
      <c r="S30" t="s">
        <v>26</v>
      </c>
      <c r="T30" t="s">
        <v>27</v>
      </c>
      <c r="U30">
        <v>1024</v>
      </c>
      <c r="V30">
        <v>1024</v>
      </c>
      <c r="W30">
        <v>2400</v>
      </c>
      <c r="X30">
        <v>29</v>
      </c>
      <c r="Y30" t="s">
        <v>56</v>
      </c>
      <c r="Z30">
        <v>21.20211219787598</v>
      </c>
    </row>
    <row r="31" spans="1:26" x14ac:dyDescent="0.3">
      <c r="A31">
        <v>0.75</v>
      </c>
      <c r="B31">
        <v>1.5</v>
      </c>
      <c r="C31">
        <v>4.541666666666667</v>
      </c>
      <c r="D31">
        <v>3.541666666666667</v>
      </c>
      <c r="E31">
        <v>9.875</v>
      </c>
      <c r="F31">
        <v>39.791666666666657</v>
      </c>
      <c r="G31">
        <v>16.166666666666661</v>
      </c>
      <c r="H31">
        <v>20.458333333333339</v>
      </c>
      <c r="I31">
        <v>3.375</v>
      </c>
      <c r="J31">
        <v>0</v>
      </c>
      <c r="K31">
        <v>0</v>
      </c>
      <c r="L31">
        <v>-1009.491829974394</v>
      </c>
      <c r="M31">
        <v>18.134951184754179</v>
      </c>
      <c r="N31">
        <v>22.066927538722052</v>
      </c>
      <c r="O31">
        <v>19.901961298600579</v>
      </c>
      <c r="P31">
        <v>18.30953293649501</v>
      </c>
      <c r="Q31">
        <v>38.036912483354747</v>
      </c>
      <c r="R31">
        <v>28.673825823419609</v>
      </c>
      <c r="S31" t="s">
        <v>26</v>
      </c>
      <c r="T31" t="s">
        <v>27</v>
      </c>
      <c r="U31">
        <v>1024</v>
      </c>
      <c r="V31">
        <v>1024</v>
      </c>
      <c r="W31">
        <v>2400</v>
      </c>
      <c r="X31">
        <v>30</v>
      </c>
      <c r="Y31" t="s">
        <v>57</v>
      </c>
      <c r="Z31">
        <v>21.219988584518429</v>
      </c>
    </row>
    <row r="32" spans="1:26" x14ac:dyDescent="0.3">
      <c r="A32">
        <v>0.29166666666666669</v>
      </c>
      <c r="B32">
        <v>0.79166666666666674</v>
      </c>
      <c r="C32">
        <v>1.5</v>
      </c>
      <c r="D32">
        <v>3.875</v>
      </c>
      <c r="E32">
        <v>10.41666666666667</v>
      </c>
      <c r="F32">
        <v>43.375</v>
      </c>
      <c r="G32">
        <v>19.75</v>
      </c>
      <c r="H32">
        <v>16.25</v>
      </c>
      <c r="I32">
        <v>3.75</v>
      </c>
      <c r="J32">
        <v>0</v>
      </c>
      <c r="K32">
        <v>0</v>
      </c>
      <c r="L32">
        <v>-1102.273045900424</v>
      </c>
      <c r="M32">
        <v>13.23538951403663</v>
      </c>
      <c r="N32">
        <v>16.771201540958579</v>
      </c>
      <c r="O32">
        <v>18.19557017095827</v>
      </c>
      <c r="P32">
        <v>18.221241013524679</v>
      </c>
      <c r="Q32">
        <v>31.4309596849949</v>
      </c>
      <c r="R32">
        <v>24.7646285092348</v>
      </c>
      <c r="S32" t="s">
        <v>26</v>
      </c>
      <c r="T32" t="s">
        <v>27</v>
      </c>
      <c r="U32">
        <v>1024</v>
      </c>
      <c r="V32">
        <v>1024</v>
      </c>
      <c r="W32">
        <v>2400</v>
      </c>
      <c r="X32">
        <v>31</v>
      </c>
      <c r="Y32" t="s">
        <v>58</v>
      </c>
      <c r="Z32">
        <v>20.935384273529049</v>
      </c>
    </row>
    <row r="33" spans="1:26" x14ac:dyDescent="0.3">
      <c r="A33">
        <v>0.58333333333333337</v>
      </c>
      <c r="B33">
        <v>1.083333333333333</v>
      </c>
      <c r="C33">
        <v>5.291666666666667</v>
      </c>
      <c r="D33">
        <v>3.875</v>
      </c>
      <c r="E33">
        <v>7.333333333333333</v>
      </c>
      <c r="F33">
        <v>49.041666666666657</v>
      </c>
      <c r="G33">
        <v>15.54166666666667</v>
      </c>
      <c r="H33">
        <v>17.25</v>
      </c>
      <c r="I33">
        <v>0</v>
      </c>
      <c r="J33">
        <v>0</v>
      </c>
      <c r="K33">
        <v>0</v>
      </c>
      <c r="L33">
        <v>20.653505340338821</v>
      </c>
      <c r="M33">
        <v>18.505549709454769</v>
      </c>
      <c r="N33">
        <v>21.915242840378031</v>
      </c>
      <c r="O33">
        <v>13.179402815067389</v>
      </c>
      <c r="P33">
        <v>13.561812338054009</v>
      </c>
      <c r="Q33">
        <v>31.68495252452216</v>
      </c>
      <c r="R33">
        <v>25.772089993738081</v>
      </c>
      <c r="S33" t="s">
        <v>26</v>
      </c>
      <c r="T33" t="s">
        <v>27</v>
      </c>
      <c r="U33">
        <v>1024</v>
      </c>
      <c r="V33">
        <v>1024</v>
      </c>
      <c r="W33">
        <v>2400</v>
      </c>
      <c r="X33">
        <v>32</v>
      </c>
      <c r="Y33" t="s">
        <v>59</v>
      </c>
      <c r="Z33">
        <v>21.152382135391239</v>
      </c>
    </row>
    <row r="34" spans="1:26" x14ac:dyDescent="0.3">
      <c r="A34">
        <v>0.625</v>
      </c>
      <c r="B34">
        <v>0.25</v>
      </c>
      <c r="C34">
        <v>3.5</v>
      </c>
      <c r="D34">
        <v>5.583333333333333</v>
      </c>
      <c r="E34">
        <v>10.41666666666667</v>
      </c>
      <c r="F34">
        <v>47.166666666666671</v>
      </c>
      <c r="G34">
        <v>21.958333333333329</v>
      </c>
      <c r="H34">
        <v>10.45833333333333</v>
      </c>
      <c r="I34">
        <v>4.1666666666666671E-2</v>
      </c>
      <c r="J34">
        <v>0</v>
      </c>
      <c r="K34">
        <v>0</v>
      </c>
      <c r="L34">
        <v>-1916.5617090432841</v>
      </c>
      <c r="M34">
        <v>15.02960839772668</v>
      </c>
      <c r="N34">
        <v>18.386911303337559</v>
      </c>
      <c r="O34">
        <v>12.49081209751272</v>
      </c>
      <c r="P34">
        <v>12.345306600523131</v>
      </c>
      <c r="Q34">
        <v>27.520420495239399</v>
      </c>
      <c r="R34">
        <v>22.14689825546057</v>
      </c>
      <c r="S34" t="s">
        <v>26</v>
      </c>
      <c r="T34" t="s">
        <v>27</v>
      </c>
      <c r="U34">
        <v>1024</v>
      </c>
      <c r="V34">
        <v>1024</v>
      </c>
      <c r="W34">
        <v>2400</v>
      </c>
      <c r="X34">
        <v>33</v>
      </c>
      <c r="Y34" t="s">
        <v>60</v>
      </c>
      <c r="Z34">
        <v>21.016431331634521</v>
      </c>
    </row>
    <row r="35" spans="1:26" x14ac:dyDescent="0.3">
      <c r="A35">
        <v>0.20833333333333329</v>
      </c>
      <c r="B35">
        <v>0.95833333333333326</v>
      </c>
      <c r="C35">
        <v>2.041666666666667</v>
      </c>
      <c r="D35">
        <v>3.416666666666667</v>
      </c>
      <c r="E35">
        <v>11.75</v>
      </c>
      <c r="F35">
        <v>51.708333333333343</v>
      </c>
      <c r="G35">
        <v>12.58333333333333</v>
      </c>
      <c r="H35">
        <v>15.79166666666667</v>
      </c>
      <c r="I35">
        <v>1.541666666666667</v>
      </c>
      <c r="J35">
        <v>0</v>
      </c>
      <c r="K35">
        <v>0</v>
      </c>
      <c r="L35">
        <v>-271.17911505715188</v>
      </c>
      <c r="M35">
        <v>12.06179739442628</v>
      </c>
      <c r="N35">
        <v>15.640020322569971</v>
      </c>
      <c r="O35">
        <v>15.385062631486599</v>
      </c>
      <c r="P35">
        <v>16.575273048183981</v>
      </c>
      <c r="Q35">
        <v>27.44686002591288</v>
      </c>
      <c r="R35">
        <v>22.789249928689099</v>
      </c>
      <c r="S35" t="s">
        <v>26</v>
      </c>
      <c r="T35" t="s">
        <v>27</v>
      </c>
      <c r="U35">
        <v>1024</v>
      </c>
      <c r="V35">
        <v>1024</v>
      </c>
      <c r="W35">
        <v>2400</v>
      </c>
      <c r="X35">
        <v>34</v>
      </c>
      <c r="Y35" t="s">
        <v>61</v>
      </c>
      <c r="Z35">
        <v>20.663170337676998</v>
      </c>
    </row>
    <row r="36" spans="1:26" x14ac:dyDescent="0.3">
      <c r="A36">
        <v>0</v>
      </c>
      <c r="B36">
        <v>0.54166666666666674</v>
      </c>
      <c r="C36">
        <v>1.625</v>
      </c>
      <c r="D36">
        <v>3.833333333333333</v>
      </c>
      <c r="E36">
        <v>14.91666666666667</v>
      </c>
      <c r="F36">
        <v>49.708333333333329</v>
      </c>
      <c r="G36">
        <v>15.79166666666667</v>
      </c>
      <c r="H36">
        <v>11.58333333333333</v>
      </c>
      <c r="I36">
        <v>2</v>
      </c>
      <c r="J36">
        <v>0</v>
      </c>
      <c r="K36">
        <v>0</v>
      </c>
      <c r="L36">
        <v>-464.56822754876538</v>
      </c>
      <c r="M36">
        <v>11.24762143362017</v>
      </c>
      <c r="N36">
        <v>12.699100273485071</v>
      </c>
      <c r="O36">
        <v>14.000379618878929</v>
      </c>
      <c r="P36">
        <v>15.992544695120889</v>
      </c>
      <c r="Q36">
        <v>25.248001052499099</v>
      </c>
      <c r="R36">
        <v>20.421278940885848</v>
      </c>
      <c r="S36" t="s">
        <v>26</v>
      </c>
      <c r="T36" t="s">
        <v>27</v>
      </c>
      <c r="U36">
        <v>1024</v>
      </c>
      <c r="V36">
        <v>1024</v>
      </c>
      <c r="W36">
        <v>2400</v>
      </c>
      <c r="X36">
        <v>35</v>
      </c>
      <c r="Y36" t="s">
        <v>62</v>
      </c>
      <c r="Z36">
        <v>20.507886409759521</v>
      </c>
    </row>
    <row r="37" spans="1:26" x14ac:dyDescent="0.3">
      <c r="A37">
        <v>0.375</v>
      </c>
      <c r="B37">
        <v>1.041666666666667</v>
      </c>
      <c r="C37">
        <v>2.083333333333333</v>
      </c>
      <c r="D37">
        <v>5.166666666666667</v>
      </c>
      <c r="E37">
        <v>12.125</v>
      </c>
      <c r="F37">
        <v>44.541666666666671</v>
      </c>
      <c r="G37">
        <v>18.666666666666671</v>
      </c>
      <c r="H37">
        <v>13.33333333333333</v>
      </c>
      <c r="I37">
        <v>1.416666666666667</v>
      </c>
      <c r="J37">
        <v>1.25</v>
      </c>
      <c r="K37">
        <v>0</v>
      </c>
      <c r="L37">
        <v>-2164.7916118243529</v>
      </c>
      <c r="M37">
        <v>14.340319535545911</v>
      </c>
      <c r="N37">
        <v>18.009120724179141</v>
      </c>
      <c r="O37">
        <v>16.061203875875751</v>
      </c>
      <c r="P37">
        <v>18.029355573888189</v>
      </c>
      <c r="Q37">
        <v>30.40152341142166</v>
      </c>
      <c r="R37">
        <v>25.483054990870929</v>
      </c>
      <c r="S37" t="s">
        <v>26</v>
      </c>
      <c r="T37" t="s">
        <v>27</v>
      </c>
      <c r="U37">
        <v>1024</v>
      </c>
      <c r="V37">
        <v>1024</v>
      </c>
      <c r="W37">
        <v>2400</v>
      </c>
      <c r="X37">
        <v>36</v>
      </c>
      <c r="Y37" t="s">
        <v>63</v>
      </c>
      <c r="Z37">
        <v>21.06872916221619</v>
      </c>
    </row>
    <row r="38" spans="1:26" x14ac:dyDescent="0.3">
      <c r="A38">
        <v>0.33333333333333343</v>
      </c>
      <c r="B38">
        <v>1.125</v>
      </c>
      <c r="C38">
        <v>2.166666666666667</v>
      </c>
      <c r="D38">
        <v>2.708333333333333</v>
      </c>
      <c r="E38">
        <v>12.33333333333333</v>
      </c>
      <c r="F38">
        <v>51.041666666666657</v>
      </c>
      <c r="G38">
        <v>15.04166666666667</v>
      </c>
      <c r="H38">
        <v>13.45833333333333</v>
      </c>
      <c r="I38">
        <v>1.791666666666667</v>
      </c>
      <c r="J38">
        <v>0</v>
      </c>
      <c r="K38">
        <v>0</v>
      </c>
      <c r="L38">
        <v>8.1077774375662557</v>
      </c>
      <c r="M38">
        <v>12.8613107364037</v>
      </c>
      <c r="N38">
        <v>17.48558400684087</v>
      </c>
      <c r="O38">
        <v>14.04738613672439</v>
      </c>
      <c r="P38">
        <v>15.983584659070949</v>
      </c>
      <c r="Q38">
        <v>26.90869687312809</v>
      </c>
      <c r="R38">
        <v>23.690095538304131</v>
      </c>
      <c r="S38" t="s">
        <v>26</v>
      </c>
      <c r="T38" t="s">
        <v>27</v>
      </c>
      <c r="U38">
        <v>1024</v>
      </c>
      <c r="V38">
        <v>1024</v>
      </c>
      <c r="W38">
        <v>2400</v>
      </c>
      <c r="X38">
        <v>37</v>
      </c>
      <c r="Y38" t="s">
        <v>64</v>
      </c>
      <c r="Z38">
        <v>20.88288426399231</v>
      </c>
    </row>
    <row r="39" spans="1:26" x14ac:dyDescent="0.3">
      <c r="A39">
        <v>0.375</v>
      </c>
      <c r="B39">
        <v>1.916666666666667</v>
      </c>
      <c r="C39">
        <v>3.125</v>
      </c>
      <c r="D39">
        <v>5.833333333333333</v>
      </c>
      <c r="E39">
        <v>11.16666666666667</v>
      </c>
      <c r="F39">
        <v>43.166666666666657</v>
      </c>
      <c r="G39">
        <v>18.416666666666671</v>
      </c>
      <c r="H39">
        <v>14.08333333333333</v>
      </c>
      <c r="I39">
        <v>1.916666666666667</v>
      </c>
      <c r="J39">
        <v>0</v>
      </c>
      <c r="K39">
        <v>0</v>
      </c>
      <c r="L39">
        <v>-158.0750565507872</v>
      </c>
      <c r="M39">
        <v>18.24691596591483</v>
      </c>
      <c r="N39">
        <v>20.76415896598601</v>
      </c>
      <c r="O39">
        <v>15.50051511066998</v>
      </c>
      <c r="P39">
        <v>15.83022909053582</v>
      </c>
      <c r="Q39">
        <v>33.747431076584817</v>
      </c>
      <c r="R39">
        <v>26.110274809422901</v>
      </c>
      <c r="S39" t="s">
        <v>26</v>
      </c>
      <c r="T39" t="s">
        <v>27</v>
      </c>
      <c r="U39">
        <v>1024</v>
      </c>
      <c r="V39">
        <v>1024</v>
      </c>
      <c r="W39">
        <v>2400</v>
      </c>
      <c r="X39">
        <v>38</v>
      </c>
      <c r="Y39" t="s">
        <v>65</v>
      </c>
      <c r="Z39">
        <v>21.007923603057861</v>
      </c>
    </row>
    <row r="40" spans="1:26" x14ac:dyDescent="0.3">
      <c r="A40">
        <v>0.16666666666666671</v>
      </c>
      <c r="B40">
        <v>1.416666666666667</v>
      </c>
      <c r="C40">
        <v>3.625</v>
      </c>
      <c r="D40">
        <v>4.4583333333333339</v>
      </c>
      <c r="E40">
        <v>10.79166666666667</v>
      </c>
      <c r="F40">
        <v>45.958333333333343</v>
      </c>
      <c r="G40">
        <v>19.458333333333329</v>
      </c>
      <c r="H40">
        <v>12.04166666666667</v>
      </c>
      <c r="I40">
        <v>2.083333333333333</v>
      </c>
      <c r="J40">
        <v>0</v>
      </c>
      <c r="K40">
        <v>0</v>
      </c>
      <c r="L40">
        <v>-249.03598368706409</v>
      </c>
      <c r="M40">
        <v>14.517950655844359</v>
      </c>
      <c r="N40">
        <v>18.186859322959059</v>
      </c>
      <c r="O40">
        <v>16.127145673236718</v>
      </c>
      <c r="P40">
        <v>17.417665759336799</v>
      </c>
      <c r="Q40">
        <v>30.645096329081081</v>
      </c>
      <c r="R40">
        <v>25.182075620112741</v>
      </c>
      <c r="S40" t="s">
        <v>26</v>
      </c>
      <c r="T40" t="s">
        <v>27</v>
      </c>
      <c r="U40">
        <v>1024</v>
      </c>
      <c r="V40">
        <v>1024</v>
      </c>
      <c r="W40">
        <v>2400</v>
      </c>
      <c r="X40">
        <v>39</v>
      </c>
      <c r="Y40" t="s">
        <v>66</v>
      </c>
      <c r="Z40">
        <v>20.666233777999881</v>
      </c>
    </row>
    <row r="41" spans="1:26" x14ac:dyDescent="0.3">
      <c r="A41">
        <v>0.70833333333333326</v>
      </c>
      <c r="B41">
        <v>1</v>
      </c>
      <c r="C41">
        <v>2.958333333333333</v>
      </c>
      <c r="D41">
        <v>4.4583333333333339</v>
      </c>
      <c r="E41">
        <v>10.375</v>
      </c>
      <c r="F41">
        <v>46.416666666666657</v>
      </c>
      <c r="G41">
        <v>15.58333333333333</v>
      </c>
      <c r="H41">
        <v>17.833333333333339</v>
      </c>
      <c r="I41">
        <v>0.66666666666666674</v>
      </c>
      <c r="J41">
        <v>0</v>
      </c>
      <c r="K41">
        <v>0</v>
      </c>
      <c r="L41">
        <v>103.7819005765068</v>
      </c>
      <c r="M41">
        <v>15.52372288594286</v>
      </c>
      <c r="N41">
        <v>20.115977715489699</v>
      </c>
      <c r="O41">
        <v>15.462258786612839</v>
      </c>
      <c r="P41">
        <v>15.35549987657167</v>
      </c>
      <c r="Q41">
        <v>30.985981672555699</v>
      </c>
      <c r="R41">
        <v>25.306993814150879</v>
      </c>
      <c r="S41" t="s">
        <v>26</v>
      </c>
      <c r="T41" t="s">
        <v>27</v>
      </c>
      <c r="U41">
        <v>1024</v>
      </c>
      <c r="V41">
        <v>1024</v>
      </c>
      <c r="W41">
        <v>2400</v>
      </c>
      <c r="X41">
        <v>40</v>
      </c>
      <c r="Y41" t="s">
        <v>67</v>
      </c>
      <c r="Z41">
        <v>20.906080961227421</v>
      </c>
    </row>
    <row r="42" spans="1:26" x14ac:dyDescent="0.3">
      <c r="A42">
        <v>0</v>
      </c>
      <c r="B42">
        <v>4.1666666666666671E-2</v>
      </c>
      <c r="C42">
        <v>2.708333333333333</v>
      </c>
      <c r="D42">
        <v>3.458333333333333</v>
      </c>
      <c r="E42">
        <v>12.41666666666667</v>
      </c>
      <c r="F42">
        <v>45.666666666666657</v>
      </c>
      <c r="G42">
        <v>19.833333333333329</v>
      </c>
      <c r="H42">
        <v>15.41666666666667</v>
      </c>
      <c r="I42">
        <v>0.45833333333333331</v>
      </c>
      <c r="J42">
        <v>0</v>
      </c>
      <c r="K42">
        <v>0</v>
      </c>
      <c r="L42">
        <v>17.46117341206104</v>
      </c>
      <c r="M42">
        <v>12.188899505735</v>
      </c>
      <c r="N42">
        <v>12.578299613494581</v>
      </c>
      <c r="O42">
        <v>14.578213474793071</v>
      </c>
      <c r="P42">
        <v>14.327708336178169</v>
      </c>
      <c r="Q42">
        <v>26.767112980528061</v>
      </c>
      <c r="R42">
        <v>19.06559328563964</v>
      </c>
      <c r="S42" t="s">
        <v>26</v>
      </c>
      <c r="T42" t="s">
        <v>27</v>
      </c>
      <c r="U42">
        <v>1024</v>
      </c>
      <c r="V42">
        <v>1024</v>
      </c>
      <c r="W42">
        <v>2400</v>
      </c>
      <c r="X42">
        <v>41</v>
      </c>
      <c r="Y42" t="s">
        <v>68</v>
      </c>
      <c r="Z42">
        <v>20.749907493591309</v>
      </c>
    </row>
    <row r="43" spans="1:26" x14ac:dyDescent="0.3">
      <c r="A43">
        <v>0.125</v>
      </c>
      <c r="B43">
        <v>1.666666666666667</v>
      </c>
      <c r="C43">
        <v>4.708333333333333</v>
      </c>
      <c r="D43">
        <v>4.708333333333333</v>
      </c>
      <c r="E43">
        <v>11.33333333333333</v>
      </c>
      <c r="F43">
        <v>38.541666666666671</v>
      </c>
      <c r="G43">
        <v>17</v>
      </c>
      <c r="H43">
        <v>20.041666666666661</v>
      </c>
      <c r="I43">
        <v>1.875</v>
      </c>
      <c r="J43">
        <v>0</v>
      </c>
      <c r="K43">
        <v>0</v>
      </c>
      <c r="L43">
        <v>-2480.576196288871</v>
      </c>
      <c r="M43">
        <v>17.776863774535851</v>
      </c>
      <c r="N43">
        <v>19.418124353271359</v>
      </c>
      <c r="O43">
        <v>18.647479929404021</v>
      </c>
      <c r="P43">
        <v>16.87035127155443</v>
      </c>
      <c r="Q43">
        <v>36.424343703939883</v>
      </c>
      <c r="R43">
        <v>25.72299176660345</v>
      </c>
      <c r="S43" t="s">
        <v>26</v>
      </c>
      <c r="T43" t="s">
        <v>27</v>
      </c>
      <c r="U43">
        <v>1024</v>
      </c>
      <c r="V43">
        <v>1024</v>
      </c>
      <c r="W43">
        <v>2400</v>
      </c>
      <c r="X43">
        <v>42</v>
      </c>
      <c r="Y43" t="s">
        <v>69</v>
      </c>
      <c r="Z43">
        <v>20.89135909080505</v>
      </c>
    </row>
    <row r="44" spans="1:26" x14ac:dyDescent="0.3">
      <c r="A44">
        <v>1.041666666666667</v>
      </c>
      <c r="B44">
        <v>2.458333333333333</v>
      </c>
      <c r="C44">
        <v>4.3333333333333339</v>
      </c>
      <c r="D44">
        <v>4.416666666666667</v>
      </c>
      <c r="E44">
        <v>9.5833333333333339</v>
      </c>
      <c r="F44">
        <v>36.375</v>
      </c>
      <c r="G44">
        <v>17.583333333333339</v>
      </c>
      <c r="H44">
        <v>20.583333333333339</v>
      </c>
      <c r="I44">
        <v>3.625</v>
      </c>
      <c r="J44">
        <v>0</v>
      </c>
      <c r="K44">
        <v>0</v>
      </c>
      <c r="L44">
        <v>120.090205504715</v>
      </c>
      <c r="M44">
        <v>21.585458713255662</v>
      </c>
      <c r="N44">
        <v>24.530110522936681</v>
      </c>
      <c r="O44">
        <v>20.428524178936911</v>
      </c>
      <c r="P44">
        <v>19.139680767085249</v>
      </c>
      <c r="Q44">
        <v>42.013982892192573</v>
      </c>
      <c r="R44">
        <v>31.113561386209419</v>
      </c>
      <c r="S44" t="s">
        <v>26</v>
      </c>
      <c r="T44" t="s">
        <v>27</v>
      </c>
      <c r="U44">
        <v>1024</v>
      </c>
      <c r="V44">
        <v>1024</v>
      </c>
      <c r="W44">
        <v>2400</v>
      </c>
      <c r="X44">
        <v>43</v>
      </c>
      <c r="Y44" t="s">
        <v>70</v>
      </c>
      <c r="Z44">
        <v>21.108959913253781</v>
      </c>
    </row>
    <row r="45" spans="1:26" x14ac:dyDescent="0.3">
      <c r="A45">
        <v>0</v>
      </c>
      <c r="B45">
        <v>0.58333333333333337</v>
      </c>
      <c r="C45">
        <v>2.333333333333333</v>
      </c>
      <c r="D45">
        <v>6.583333333333333</v>
      </c>
      <c r="E45">
        <v>12.91666666666667</v>
      </c>
      <c r="F45">
        <v>45.75</v>
      </c>
      <c r="G45">
        <v>16</v>
      </c>
      <c r="H45">
        <v>14.70833333333333</v>
      </c>
      <c r="I45">
        <v>1.125</v>
      </c>
      <c r="J45">
        <v>0</v>
      </c>
      <c r="K45">
        <v>0</v>
      </c>
      <c r="L45">
        <v>83.666789129192011</v>
      </c>
      <c r="M45">
        <v>13.28427111493983</v>
      </c>
      <c r="N45">
        <v>14.41459898602535</v>
      </c>
      <c r="O45">
        <v>15.533931371143041</v>
      </c>
      <c r="P45">
        <v>16.037735777309091</v>
      </c>
      <c r="Q45">
        <v>28.818202486082871</v>
      </c>
      <c r="R45">
        <v>21.5636182675984</v>
      </c>
      <c r="S45" t="s">
        <v>26</v>
      </c>
      <c r="T45" t="s">
        <v>27</v>
      </c>
      <c r="U45">
        <v>1024</v>
      </c>
      <c r="V45">
        <v>1024</v>
      </c>
      <c r="W45">
        <v>2400</v>
      </c>
      <c r="X45">
        <v>44</v>
      </c>
      <c r="Y45" t="s">
        <v>71</v>
      </c>
      <c r="Z45">
        <v>20.901297092437741</v>
      </c>
    </row>
    <row r="46" spans="1:26" x14ac:dyDescent="0.3">
      <c r="A46">
        <v>0</v>
      </c>
      <c r="B46">
        <v>0.25</v>
      </c>
      <c r="C46">
        <v>2.333333333333333</v>
      </c>
      <c r="D46">
        <v>3.75</v>
      </c>
      <c r="E46">
        <v>11.625</v>
      </c>
      <c r="F46">
        <v>42.083333333333343</v>
      </c>
      <c r="G46">
        <v>19.125</v>
      </c>
      <c r="H46">
        <v>20.833333333333339</v>
      </c>
      <c r="I46">
        <v>0</v>
      </c>
      <c r="J46">
        <v>0</v>
      </c>
      <c r="K46">
        <v>0</v>
      </c>
      <c r="L46">
        <v>-526.39797656581209</v>
      </c>
      <c r="M46">
        <v>12.665535999917051</v>
      </c>
      <c r="N46">
        <v>13.10006297874776</v>
      </c>
      <c r="O46">
        <v>15.940625710337089</v>
      </c>
      <c r="P46">
        <v>13.725840152544089</v>
      </c>
      <c r="Q46">
        <v>28.606161710254138</v>
      </c>
      <c r="R46">
        <v>18.97393838770299</v>
      </c>
      <c r="S46" t="s">
        <v>26</v>
      </c>
      <c r="T46" t="s">
        <v>27</v>
      </c>
      <c r="U46">
        <v>1024</v>
      </c>
      <c r="V46">
        <v>1024</v>
      </c>
      <c r="W46">
        <v>2400</v>
      </c>
      <c r="X46">
        <v>45</v>
      </c>
      <c r="Y46" t="s">
        <v>72</v>
      </c>
      <c r="Z46">
        <v>21.3318305015564</v>
      </c>
    </row>
    <row r="47" spans="1:26" x14ac:dyDescent="0.3">
      <c r="A47">
        <v>0.375</v>
      </c>
      <c r="B47">
        <v>2.166666666666667</v>
      </c>
      <c r="C47">
        <v>3.958333333333333</v>
      </c>
      <c r="D47">
        <v>4.375</v>
      </c>
      <c r="E47">
        <v>9.125</v>
      </c>
      <c r="F47">
        <v>43.416666666666657</v>
      </c>
      <c r="G47">
        <v>19.083333333333329</v>
      </c>
      <c r="H47">
        <v>16.208333333333329</v>
      </c>
      <c r="I47">
        <v>1.291666666666667</v>
      </c>
      <c r="J47">
        <v>0</v>
      </c>
      <c r="K47">
        <v>0</v>
      </c>
      <c r="L47">
        <v>52.256452219113037</v>
      </c>
      <c r="M47">
        <v>18.603461866384471</v>
      </c>
      <c r="N47">
        <v>21.187298362652211</v>
      </c>
      <c r="O47">
        <v>15.554193991615101</v>
      </c>
      <c r="P47">
        <v>15.376306928793269</v>
      </c>
      <c r="Q47">
        <v>34.157655857999572</v>
      </c>
      <c r="R47">
        <v>26.17885457151441</v>
      </c>
      <c r="S47" t="s">
        <v>26</v>
      </c>
      <c r="T47" t="s">
        <v>27</v>
      </c>
      <c r="U47">
        <v>1024</v>
      </c>
      <c r="V47">
        <v>1024</v>
      </c>
      <c r="W47">
        <v>2400</v>
      </c>
      <c r="X47">
        <v>46</v>
      </c>
      <c r="Y47" t="s">
        <v>73</v>
      </c>
      <c r="Z47">
        <v>21.01291108131409</v>
      </c>
    </row>
    <row r="48" spans="1:26" x14ac:dyDescent="0.3">
      <c r="A48">
        <v>0.58333333333333337</v>
      </c>
      <c r="B48">
        <v>2.208333333333333</v>
      </c>
      <c r="C48">
        <v>4.75</v>
      </c>
      <c r="D48">
        <v>6.625</v>
      </c>
      <c r="E48">
        <v>7.875</v>
      </c>
      <c r="F48">
        <v>41.25</v>
      </c>
      <c r="G48">
        <v>21.625</v>
      </c>
      <c r="H48">
        <v>14.54166666666667</v>
      </c>
      <c r="I48">
        <v>0.54166666666666674</v>
      </c>
      <c r="J48">
        <v>0</v>
      </c>
      <c r="K48">
        <v>0</v>
      </c>
      <c r="L48">
        <v>68.499602283033028</v>
      </c>
      <c r="M48">
        <v>20.60832303539879</v>
      </c>
      <c r="N48">
        <v>22.90199334221662</v>
      </c>
      <c r="O48">
        <v>15.11316872885428</v>
      </c>
      <c r="P48">
        <v>13.823468135728911</v>
      </c>
      <c r="Q48">
        <v>35.721491764253066</v>
      </c>
      <c r="R48">
        <v>26.750505982998661</v>
      </c>
      <c r="S48" t="s">
        <v>26</v>
      </c>
      <c r="T48" t="s">
        <v>27</v>
      </c>
      <c r="U48">
        <v>1024</v>
      </c>
      <c r="V48">
        <v>1024</v>
      </c>
      <c r="W48">
        <v>2400</v>
      </c>
      <c r="X48">
        <v>47</v>
      </c>
      <c r="Y48" t="s">
        <v>74</v>
      </c>
      <c r="Z48">
        <v>21.140768527984619</v>
      </c>
    </row>
    <row r="49" spans="1:26" x14ac:dyDescent="0.3">
      <c r="A49">
        <v>0.5</v>
      </c>
      <c r="B49">
        <v>1.166666666666667</v>
      </c>
      <c r="C49">
        <v>1.666666666666667</v>
      </c>
      <c r="D49">
        <v>3.416666666666667</v>
      </c>
      <c r="E49">
        <v>8.3333333333333321</v>
      </c>
      <c r="F49">
        <v>52.125</v>
      </c>
      <c r="G49">
        <v>18.041666666666671</v>
      </c>
      <c r="H49">
        <v>13.16666666666667</v>
      </c>
      <c r="I49">
        <v>1.583333333333333</v>
      </c>
      <c r="J49">
        <v>0</v>
      </c>
      <c r="K49">
        <v>0</v>
      </c>
      <c r="L49">
        <v>95.732720899176229</v>
      </c>
      <c r="M49">
        <v>12.85543839947443</v>
      </c>
      <c r="N49">
        <v>19.23527039598358</v>
      </c>
      <c r="O49">
        <v>14.18955786979792</v>
      </c>
      <c r="P49">
        <v>16.1609205966577</v>
      </c>
      <c r="Q49">
        <v>27.04499626927235</v>
      </c>
      <c r="R49">
        <v>25.123116481401691</v>
      </c>
      <c r="S49" t="s">
        <v>26</v>
      </c>
      <c r="T49" t="s">
        <v>27</v>
      </c>
      <c r="U49">
        <v>1024</v>
      </c>
      <c r="V49">
        <v>1024</v>
      </c>
      <c r="W49">
        <v>2400</v>
      </c>
      <c r="X49">
        <v>48</v>
      </c>
      <c r="Y49" t="s">
        <v>75</v>
      </c>
      <c r="Z49">
        <v>20.98862361907959</v>
      </c>
    </row>
    <row r="50" spans="1:26" x14ac:dyDescent="0.3">
      <c r="A50">
        <v>0.33333333333333343</v>
      </c>
      <c r="B50">
        <v>1.708333333333333</v>
      </c>
      <c r="C50">
        <v>2.833333333333333</v>
      </c>
      <c r="D50">
        <v>5.7916666666666661</v>
      </c>
      <c r="E50">
        <v>11.20833333333333</v>
      </c>
      <c r="F50">
        <v>43.208333333333329</v>
      </c>
      <c r="G50">
        <v>21.75</v>
      </c>
      <c r="H50">
        <v>10.75</v>
      </c>
      <c r="I50">
        <v>2.416666666666667</v>
      </c>
      <c r="J50">
        <v>0</v>
      </c>
      <c r="K50">
        <v>0</v>
      </c>
      <c r="L50">
        <v>-5363.8557625089816</v>
      </c>
      <c r="M50">
        <v>17.364543860623112</v>
      </c>
      <c r="N50">
        <v>19.985175122643678</v>
      </c>
      <c r="O50">
        <v>14.989679171253201</v>
      </c>
      <c r="P50">
        <v>15.971466547280899</v>
      </c>
      <c r="Q50">
        <v>32.354223031876309</v>
      </c>
      <c r="R50">
        <v>25.583099271856192</v>
      </c>
      <c r="S50" t="s">
        <v>26</v>
      </c>
      <c r="T50" t="s">
        <v>27</v>
      </c>
      <c r="U50">
        <v>1024</v>
      </c>
      <c r="V50">
        <v>1024</v>
      </c>
      <c r="W50">
        <v>2400</v>
      </c>
      <c r="X50">
        <v>49</v>
      </c>
      <c r="Y50" t="s">
        <v>76</v>
      </c>
      <c r="Z50">
        <v>21.232023239135739</v>
      </c>
    </row>
    <row r="51" spans="1:26" x14ac:dyDescent="0.3">
      <c r="A51">
        <v>0.58333333333333337</v>
      </c>
      <c r="B51">
        <v>1.458333333333333</v>
      </c>
      <c r="C51">
        <v>3.375</v>
      </c>
      <c r="D51">
        <v>6.833333333333333</v>
      </c>
      <c r="E51">
        <v>11.375</v>
      </c>
      <c r="F51">
        <v>33.5</v>
      </c>
      <c r="G51">
        <v>17.916666666666671</v>
      </c>
      <c r="H51">
        <v>23.666666666666671</v>
      </c>
      <c r="I51">
        <v>1.291666666666667</v>
      </c>
      <c r="J51">
        <v>0</v>
      </c>
      <c r="K51">
        <v>0</v>
      </c>
      <c r="L51">
        <v>-1480.9566363870381</v>
      </c>
      <c r="M51">
        <v>19.181749156665081</v>
      </c>
      <c r="N51">
        <v>20.670596094142279</v>
      </c>
      <c r="O51">
        <v>19.86845176248416</v>
      </c>
      <c r="P51">
        <v>16.252925772958768</v>
      </c>
      <c r="Q51">
        <v>39.050200919149241</v>
      </c>
      <c r="R51">
        <v>26.295078228985691</v>
      </c>
      <c r="S51" t="s">
        <v>26</v>
      </c>
      <c r="T51" t="s">
        <v>27</v>
      </c>
      <c r="U51">
        <v>1024</v>
      </c>
      <c r="V51">
        <v>1024</v>
      </c>
      <c r="W51">
        <v>2400</v>
      </c>
      <c r="X51">
        <v>50</v>
      </c>
      <c r="Y51" t="s">
        <v>77</v>
      </c>
      <c r="Z51">
        <v>20.946940422058109</v>
      </c>
    </row>
    <row r="52" spans="1:26" x14ac:dyDescent="0.3">
      <c r="A52">
        <v>0.66666666666666674</v>
      </c>
      <c r="B52">
        <v>1.333333333333333</v>
      </c>
      <c r="C52">
        <v>1.583333333333333</v>
      </c>
      <c r="D52">
        <v>3.041666666666667</v>
      </c>
      <c r="E52">
        <v>7.875</v>
      </c>
      <c r="F52">
        <v>50.625</v>
      </c>
      <c r="G52">
        <v>12.45833333333333</v>
      </c>
      <c r="H52">
        <v>15.04166666666667</v>
      </c>
      <c r="I52">
        <v>5.708333333333333</v>
      </c>
      <c r="J52">
        <v>1.666666666666667</v>
      </c>
      <c r="K52">
        <v>0</v>
      </c>
      <c r="L52">
        <v>54.720770770523252</v>
      </c>
      <c r="M52">
        <v>13.63781333745291</v>
      </c>
      <c r="N52">
        <v>20.80067570447596</v>
      </c>
      <c r="O52">
        <v>21.1253212384946</v>
      </c>
      <c r="P52">
        <v>23.797333464315091</v>
      </c>
      <c r="Q52">
        <v>34.763134575947518</v>
      </c>
      <c r="R52">
        <v>31.606663692559959</v>
      </c>
      <c r="S52" t="s">
        <v>26</v>
      </c>
      <c r="T52" t="s">
        <v>27</v>
      </c>
      <c r="U52">
        <v>1024</v>
      </c>
      <c r="V52">
        <v>1024</v>
      </c>
      <c r="W52">
        <v>2400</v>
      </c>
      <c r="X52">
        <v>51</v>
      </c>
      <c r="Y52" t="s">
        <v>78</v>
      </c>
      <c r="Z52">
        <v>21.110237598419189</v>
      </c>
    </row>
    <row r="53" spans="1:26" x14ac:dyDescent="0.3">
      <c r="A53">
        <v>1.208333333333333</v>
      </c>
      <c r="B53">
        <v>2.25</v>
      </c>
      <c r="C53">
        <v>3.083333333333333</v>
      </c>
      <c r="D53">
        <v>4.3333333333333339</v>
      </c>
      <c r="E53">
        <v>7.75</v>
      </c>
      <c r="F53">
        <v>43.041666666666657</v>
      </c>
      <c r="G53">
        <v>15.08333333333333</v>
      </c>
      <c r="H53">
        <v>19.625</v>
      </c>
      <c r="I53">
        <v>2.416666666666667</v>
      </c>
      <c r="J53">
        <v>1.208333333333333</v>
      </c>
      <c r="K53">
        <v>0</v>
      </c>
      <c r="L53">
        <v>-1043.098704158426</v>
      </c>
      <c r="M53">
        <v>18.628944511865459</v>
      </c>
      <c r="N53">
        <v>24.849103241131068</v>
      </c>
      <c r="O53">
        <v>20.723048940294831</v>
      </c>
      <c r="P53">
        <v>20.504388013449422</v>
      </c>
      <c r="Q53">
        <v>39.351993452160293</v>
      </c>
      <c r="R53">
        <v>32.216577405032943</v>
      </c>
      <c r="S53" t="s">
        <v>26</v>
      </c>
      <c r="T53" t="s">
        <v>27</v>
      </c>
      <c r="U53">
        <v>1024</v>
      </c>
      <c r="V53">
        <v>1024</v>
      </c>
      <c r="W53">
        <v>2400</v>
      </c>
      <c r="X53">
        <v>52</v>
      </c>
      <c r="Y53" t="s">
        <v>79</v>
      </c>
      <c r="Z53">
        <v>20.81745076179504</v>
      </c>
    </row>
    <row r="54" spans="1:26" x14ac:dyDescent="0.3">
      <c r="A54">
        <v>0.5</v>
      </c>
      <c r="B54">
        <v>1.291666666666667</v>
      </c>
      <c r="C54">
        <v>1.625</v>
      </c>
      <c r="D54">
        <v>4.541666666666667</v>
      </c>
      <c r="E54">
        <v>10.25</v>
      </c>
      <c r="F54">
        <v>43.541666666666657</v>
      </c>
      <c r="G54">
        <v>18.416666666666671</v>
      </c>
      <c r="H54">
        <v>18.166666666666671</v>
      </c>
      <c r="I54">
        <v>1.666666666666667</v>
      </c>
      <c r="J54">
        <v>0</v>
      </c>
      <c r="K54">
        <v>0</v>
      </c>
      <c r="L54">
        <v>28.899552152031671</v>
      </c>
      <c r="M54">
        <v>14.56941717081418</v>
      </c>
      <c r="N54">
        <v>19.556547244479521</v>
      </c>
      <c r="O54">
        <v>16.968055565688861</v>
      </c>
      <c r="P54">
        <v>16.29297560531608</v>
      </c>
      <c r="Q54">
        <v>31.53747273650303</v>
      </c>
      <c r="R54">
        <v>25.454264754672931</v>
      </c>
      <c r="S54" t="s">
        <v>26</v>
      </c>
      <c r="T54" t="s">
        <v>27</v>
      </c>
      <c r="U54">
        <v>1024</v>
      </c>
      <c r="V54">
        <v>1024</v>
      </c>
      <c r="W54">
        <v>2400</v>
      </c>
      <c r="X54">
        <v>53</v>
      </c>
      <c r="Y54" t="s">
        <v>80</v>
      </c>
      <c r="Z54">
        <v>21.131526231765751</v>
      </c>
    </row>
    <row r="55" spans="1:26" x14ac:dyDescent="0.3">
      <c r="A55">
        <v>1.75</v>
      </c>
      <c r="B55">
        <v>4.083333333333333</v>
      </c>
      <c r="C55">
        <v>4.583333333333333</v>
      </c>
      <c r="D55">
        <v>4.791666666666667</v>
      </c>
      <c r="E55">
        <v>7.4583333333333339</v>
      </c>
      <c r="F55">
        <v>39.875</v>
      </c>
      <c r="G55">
        <v>18.458333333333329</v>
      </c>
      <c r="H55">
        <v>16.916666666666661</v>
      </c>
      <c r="I55">
        <v>2.083333333333333</v>
      </c>
      <c r="J55">
        <v>0</v>
      </c>
      <c r="K55">
        <v>0</v>
      </c>
      <c r="L55">
        <v>60.85494894660701</v>
      </c>
      <c r="M55">
        <v>25.835733440699869</v>
      </c>
      <c r="N55">
        <v>28.98484537975558</v>
      </c>
      <c r="O55">
        <v>17.053255585752041</v>
      </c>
      <c r="P55">
        <v>16.3662027527132</v>
      </c>
      <c r="Q55">
        <v>42.88898902645191</v>
      </c>
      <c r="R55">
        <v>33.286241215121542</v>
      </c>
      <c r="S55" t="s">
        <v>26</v>
      </c>
      <c r="T55" t="s">
        <v>27</v>
      </c>
      <c r="U55">
        <v>1024</v>
      </c>
      <c r="V55">
        <v>1024</v>
      </c>
      <c r="W55">
        <v>2400</v>
      </c>
      <c r="X55">
        <v>54</v>
      </c>
      <c r="Y55" t="s">
        <v>81</v>
      </c>
      <c r="Z55">
        <v>20.72726225852966</v>
      </c>
    </row>
    <row r="56" spans="1:26" x14ac:dyDescent="0.3">
      <c r="A56">
        <v>0.79166666666666674</v>
      </c>
      <c r="B56">
        <v>1.25</v>
      </c>
      <c r="C56">
        <v>1.625</v>
      </c>
      <c r="D56">
        <v>4.375</v>
      </c>
      <c r="E56">
        <v>5.541666666666667</v>
      </c>
      <c r="F56">
        <v>49.75</v>
      </c>
      <c r="G56">
        <v>18.083333333333339</v>
      </c>
      <c r="H56">
        <v>16.541666666666661</v>
      </c>
      <c r="I56">
        <v>2.041666666666667</v>
      </c>
      <c r="J56">
        <v>0</v>
      </c>
      <c r="K56">
        <v>0</v>
      </c>
      <c r="L56">
        <v>78.162740499917845</v>
      </c>
      <c r="M56">
        <v>13.875178636057109</v>
      </c>
      <c r="N56">
        <v>21.018454553413729</v>
      </c>
      <c r="O56">
        <v>16.540313892834771</v>
      </c>
      <c r="P56">
        <v>17.027822961853602</v>
      </c>
      <c r="Q56">
        <v>30.415492528891878</v>
      </c>
      <c r="R56">
        <v>27.05036389097468</v>
      </c>
      <c r="S56" t="s">
        <v>26</v>
      </c>
      <c r="T56" t="s">
        <v>27</v>
      </c>
      <c r="U56">
        <v>1024</v>
      </c>
      <c r="V56">
        <v>1024</v>
      </c>
      <c r="W56">
        <v>2400</v>
      </c>
      <c r="X56">
        <v>55</v>
      </c>
      <c r="Y56" t="s">
        <v>82</v>
      </c>
      <c r="Z56">
        <v>21.332219123840328</v>
      </c>
    </row>
    <row r="57" spans="1:26" x14ac:dyDescent="0.3">
      <c r="A57">
        <v>0</v>
      </c>
      <c r="B57">
        <v>0.54166666666666674</v>
      </c>
      <c r="C57">
        <v>3</v>
      </c>
      <c r="D57">
        <v>5.166666666666667</v>
      </c>
      <c r="E57">
        <v>9.9583333333333321</v>
      </c>
      <c r="F57">
        <v>48.333333333333343</v>
      </c>
      <c r="G57">
        <v>17.416666666666671</v>
      </c>
      <c r="H57">
        <v>10.95833333333333</v>
      </c>
      <c r="I57">
        <v>3.75</v>
      </c>
      <c r="J57">
        <v>0.87500000000000011</v>
      </c>
      <c r="K57">
        <v>0</v>
      </c>
      <c r="L57">
        <v>-2256.0343983167422</v>
      </c>
      <c r="M57">
        <v>13.44214368260563</v>
      </c>
      <c r="N57">
        <v>15.12521871075811</v>
      </c>
      <c r="O57">
        <v>16.953969757685488</v>
      </c>
      <c r="P57">
        <v>20.238837588232268</v>
      </c>
      <c r="Q57">
        <v>30.396113440291121</v>
      </c>
      <c r="R57">
        <v>25.2662381048527</v>
      </c>
      <c r="S57" t="s">
        <v>26</v>
      </c>
      <c r="T57" t="s">
        <v>27</v>
      </c>
      <c r="U57">
        <v>1024</v>
      </c>
      <c r="V57">
        <v>1024</v>
      </c>
      <c r="W57">
        <v>2400</v>
      </c>
      <c r="X57">
        <v>56</v>
      </c>
      <c r="Y57" t="s">
        <v>83</v>
      </c>
      <c r="Z57">
        <v>21.044854402542111</v>
      </c>
    </row>
    <row r="58" spans="1:26" x14ac:dyDescent="0.3">
      <c r="A58">
        <v>1.458333333333333</v>
      </c>
      <c r="B58">
        <v>1.833333333333333</v>
      </c>
      <c r="C58">
        <v>2.625</v>
      </c>
      <c r="D58">
        <v>5.916666666666667</v>
      </c>
      <c r="E58">
        <v>10.83333333333333</v>
      </c>
      <c r="F58">
        <v>44.333333333333343</v>
      </c>
      <c r="G58">
        <v>15.75</v>
      </c>
      <c r="H58">
        <v>11.33333333333333</v>
      </c>
      <c r="I58">
        <v>5.916666666666667</v>
      </c>
      <c r="J58">
        <v>0</v>
      </c>
      <c r="K58">
        <v>0</v>
      </c>
      <c r="L58">
        <v>121.646048803723</v>
      </c>
      <c r="M58">
        <v>20.491278536655141</v>
      </c>
      <c r="N58">
        <v>24.634821583485341</v>
      </c>
      <c r="O58">
        <v>18.40495575394926</v>
      </c>
      <c r="P58">
        <v>21.172751146457859</v>
      </c>
      <c r="Q58">
        <v>38.896234290604397</v>
      </c>
      <c r="R58">
        <v>32.483223755655587</v>
      </c>
      <c r="S58" t="s">
        <v>26</v>
      </c>
      <c r="T58" t="s">
        <v>27</v>
      </c>
      <c r="U58">
        <v>1024</v>
      </c>
      <c r="V58">
        <v>1024</v>
      </c>
      <c r="W58">
        <v>2400</v>
      </c>
      <c r="X58">
        <v>57</v>
      </c>
      <c r="Y58" t="s">
        <v>84</v>
      </c>
      <c r="Z58">
        <v>20.767197847366329</v>
      </c>
    </row>
    <row r="59" spans="1:26" x14ac:dyDescent="0.3">
      <c r="A59">
        <v>0.5</v>
      </c>
      <c r="B59">
        <v>1.458333333333333</v>
      </c>
      <c r="C59">
        <v>3.041666666666667</v>
      </c>
      <c r="D59">
        <v>4.666666666666667</v>
      </c>
      <c r="E59">
        <v>8.0416666666666661</v>
      </c>
      <c r="F59">
        <v>38.208333333333343</v>
      </c>
      <c r="G59">
        <v>19.458333333333329</v>
      </c>
      <c r="H59">
        <v>19.875</v>
      </c>
      <c r="I59">
        <v>4.75</v>
      </c>
      <c r="J59">
        <v>0</v>
      </c>
      <c r="K59">
        <v>0</v>
      </c>
      <c r="L59">
        <v>-296.4588388021632</v>
      </c>
      <c r="M59">
        <v>17.238420507801251</v>
      </c>
      <c r="N59">
        <v>21.352286644257291</v>
      </c>
      <c r="O59">
        <v>20.403441371134889</v>
      </c>
      <c r="P59">
        <v>18.923208598344281</v>
      </c>
      <c r="Q59">
        <v>37.64186187893614</v>
      </c>
      <c r="R59">
        <v>28.530824884587179</v>
      </c>
      <c r="S59" t="s">
        <v>26</v>
      </c>
      <c r="T59" t="s">
        <v>27</v>
      </c>
      <c r="U59">
        <v>1024</v>
      </c>
      <c r="V59">
        <v>1024</v>
      </c>
      <c r="W59">
        <v>2400</v>
      </c>
      <c r="X59">
        <v>58</v>
      </c>
      <c r="Y59" t="s">
        <v>85</v>
      </c>
      <c r="Z59">
        <v>21.657275676727291</v>
      </c>
    </row>
    <row r="60" spans="1:26" x14ac:dyDescent="0.3">
      <c r="A60">
        <v>4.1666666666666671E-2</v>
      </c>
      <c r="B60">
        <v>0.91666666666666663</v>
      </c>
      <c r="C60">
        <v>3.75</v>
      </c>
      <c r="D60">
        <v>5.25</v>
      </c>
      <c r="E60">
        <v>11.54166666666667</v>
      </c>
      <c r="F60">
        <v>48.625</v>
      </c>
      <c r="G60">
        <v>14.54166666666667</v>
      </c>
      <c r="H60">
        <v>15.04166666666667</v>
      </c>
      <c r="I60">
        <v>0.29166666666666669</v>
      </c>
      <c r="J60">
        <v>0</v>
      </c>
      <c r="K60">
        <v>0</v>
      </c>
      <c r="L60">
        <v>-1688.692574148422</v>
      </c>
      <c r="M60">
        <v>14.924257170855361</v>
      </c>
      <c r="N60">
        <v>16.527756993671229</v>
      </c>
      <c r="O60">
        <v>14.65817378084475</v>
      </c>
      <c r="P60">
        <v>16.277533902416671</v>
      </c>
      <c r="Q60">
        <v>29.582430951700118</v>
      </c>
      <c r="R60">
        <v>23.19751842732693</v>
      </c>
      <c r="S60" t="s">
        <v>26</v>
      </c>
      <c r="T60" t="s">
        <v>27</v>
      </c>
      <c r="U60">
        <v>1024</v>
      </c>
      <c r="V60">
        <v>1024</v>
      </c>
      <c r="W60">
        <v>2400</v>
      </c>
      <c r="X60">
        <v>59</v>
      </c>
      <c r="Y60" t="s">
        <v>86</v>
      </c>
      <c r="Z60">
        <v>20.859762668609619</v>
      </c>
    </row>
    <row r="61" spans="1:26" x14ac:dyDescent="0.3">
      <c r="A61">
        <v>1.291666666666667</v>
      </c>
      <c r="B61">
        <v>0.58333333333333337</v>
      </c>
      <c r="C61">
        <v>2.75</v>
      </c>
      <c r="D61">
        <v>2.875</v>
      </c>
      <c r="E61">
        <v>10.29166666666667</v>
      </c>
      <c r="F61">
        <v>50.958333333333343</v>
      </c>
      <c r="G61">
        <v>19.416666666666661</v>
      </c>
      <c r="H61">
        <v>9.125</v>
      </c>
      <c r="I61">
        <v>1.541666666666667</v>
      </c>
      <c r="J61">
        <v>1.166666666666667</v>
      </c>
      <c r="K61">
        <v>0</v>
      </c>
      <c r="L61">
        <v>121.4235764238562</v>
      </c>
      <c r="M61">
        <v>15.3814363084969</v>
      </c>
      <c r="N61">
        <v>21.97769483170477</v>
      </c>
      <c r="O61">
        <v>13.507033246829559</v>
      </c>
      <c r="P61">
        <v>17.409720344613628</v>
      </c>
      <c r="Q61">
        <v>28.888469555326459</v>
      </c>
      <c r="R61">
        <v>28.03778580047284</v>
      </c>
      <c r="S61" t="s">
        <v>26</v>
      </c>
      <c r="T61" t="s">
        <v>27</v>
      </c>
      <c r="U61">
        <v>1024</v>
      </c>
      <c r="V61">
        <v>1024</v>
      </c>
      <c r="W61">
        <v>2400</v>
      </c>
      <c r="X61">
        <v>60</v>
      </c>
      <c r="Y61" t="s">
        <v>87</v>
      </c>
      <c r="Z61">
        <v>21.11261963844299</v>
      </c>
    </row>
    <row r="62" spans="1:26" x14ac:dyDescent="0.3">
      <c r="A62">
        <v>0</v>
      </c>
      <c r="B62">
        <v>0.58333333333333337</v>
      </c>
      <c r="C62">
        <v>3.541666666666667</v>
      </c>
      <c r="D62">
        <v>5.583333333333333</v>
      </c>
      <c r="E62">
        <v>9.75</v>
      </c>
      <c r="F62">
        <v>48.375</v>
      </c>
      <c r="G62">
        <v>12.45833333333333</v>
      </c>
      <c r="H62">
        <v>16.375</v>
      </c>
      <c r="I62">
        <v>3.333333333333333</v>
      </c>
      <c r="J62">
        <v>0</v>
      </c>
      <c r="K62">
        <v>0</v>
      </c>
      <c r="L62">
        <v>-2747.6905695585679</v>
      </c>
      <c r="M62">
        <v>13.1399577516699</v>
      </c>
      <c r="N62">
        <v>15.260467580000901</v>
      </c>
      <c r="O62">
        <v>18.831707725120872</v>
      </c>
      <c r="P62">
        <v>19.446337329323331</v>
      </c>
      <c r="Q62">
        <v>31.971665476790768</v>
      </c>
      <c r="R62">
        <v>24.719261847516659</v>
      </c>
      <c r="S62" t="s">
        <v>26</v>
      </c>
      <c r="T62" t="s">
        <v>27</v>
      </c>
      <c r="U62">
        <v>1024</v>
      </c>
      <c r="V62">
        <v>1024</v>
      </c>
      <c r="W62">
        <v>2400</v>
      </c>
      <c r="X62">
        <v>61</v>
      </c>
      <c r="Y62" t="s">
        <v>88</v>
      </c>
      <c r="Z62">
        <v>21.043436050415039</v>
      </c>
    </row>
    <row r="63" spans="1:26" x14ac:dyDescent="0.3">
      <c r="A63">
        <v>0.54166666666666674</v>
      </c>
      <c r="B63">
        <v>1.208333333333333</v>
      </c>
      <c r="C63">
        <v>2.583333333333333</v>
      </c>
      <c r="D63">
        <v>2.75</v>
      </c>
      <c r="E63">
        <v>12.75</v>
      </c>
      <c r="F63">
        <v>43.041666666666657</v>
      </c>
      <c r="G63">
        <v>16.541666666666661</v>
      </c>
      <c r="H63">
        <v>16.083333333333329</v>
      </c>
      <c r="I63">
        <v>4.5</v>
      </c>
      <c r="J63">
        <v>0</v>
      </c>
      <c r="K63">
        <v>0</v>
      </c>
      <c r="L63">
        <v>-1986.682647558104</v>
      </c>
      <c r="M63">
        <v>14.96428160537373</v>
      </c>
      <c r="N63">
        <v>19.115905495604029</v>
      </c>
      <c r="O63">
        <v>19.868223960766979</v>
      </c>
      <c r="P63">
        <v>19.645513776806119</v>
      </c>
      <c r="Q63">
        <v>34.832505566140711</v>
      </c>
      <c r="R63">
        <v>27.411020675479111</v>
      </c>
      <c r="S63" t="s">
        <v>26</v>
      </c>
      <c r="T63" t="s">
        <v>27</v>
      </c>
      <c r="U63">
        <v>1024</v>
      </c>
      <c r="V63">
        <v>1024</v>
      </c>
      <c r="W63">
        <v>2400</v>
      </c>
      <c r="X63">
        <v>62</v>
      </c>
      <c r="Y63" t="s">
        <v>89</v>
      </c>
      <c r="Z63">
        <v>20.934224605560299</v>
      </c>
    </row>
    <row r="64" spans="1:26" x14ac:dyDescent="0.3">
      <c r="A64">
        <v>1.083333333333333</v>
      </c>
      <c r="B64">
        <v>1.75</v>
      </c>
      <c r="C64">
        <v>1.083333333333333</v>
      </c>
      <c r="D64">
        <v>3.833333333333333</v>
      </c>
      <c r="E64">
        <v>12.29166666666667</v>
      </c>
      <c r="F64">
        <v>41.333333333333343</v>
      </c>
      <c r="G64">
        <v>14.91666666666667</v>
      </c>
      <c r="H64">
        <v>20.625</v>
      </c>
      <c r="I64">
        <v>1.416666666666667</v>
      </c>
      <c r="J64">
        <v>1.666666666666667</v>
      </c>
      <c r="K64">
        <v>0</v>
      </c>
      <c r="L64">
        <v>-75.855702782733943</v>
      </c>
      <c r="M64">
        <v>17.20510811557439</v>
      </c>
      <c r="N64">
        <v>23.1669332018154</v>
      </c>
      <c r="O64">
        <v>20.13634461390507</v>
      </c>
      <c r="P64">
        <v>20.781991450626599</v>
      </c>
      <c r="Q64">
        <v>37.341452729479457</v>
      </c>
      <c r="R64">
        <v>31.12230651207096</v>
      </c>
      <c r="S64" t="s">
        <v>26</v>
      </c>
      <c r="T64" t="s">
        <v>27</v>
      </c>
      <c r="U64">
        <v>1024</v>
      </c>
      <c r="V64">
        <v>1024</v>
      </c>
      <c r="W64">
        <v>2400</v>
      </c>
      <c r="X64">
        <v>63</v>
      </c>
      <c r="Y64" t="s">
        <v>90</v>
      </c>
      <c r="Z64">
        <v>21.08793830871582</v>
      </c>
    </row>
    <row r="65" spans="1:26" x14ac:dyDescent="0.3">
      <c r="A65">
        <v>1.208333333333333</v>
      </c>
      <c r="B65">
        <v>2.916666666666667</v>
      </c>
      <c r="C65">
        <v>3.458333333333333</v>
      </c>
      <c r="D65">
        <v>3.083333333333333</v>
      </c>
      <c r="E65">
        <v>10.20833333333333</v>
      </c>
      <c r="F65">
        <v>42.375</v>
      </c>
      <c r="G65">
        <v>19.208333333333329</v>
      </c>
      <c r="H65">
        <v>15.95833333333333</v>
      </c>
      <c r="I65">
        <v>1.583333333333333</v>
      </c>
      <c r="J65">
        <v>0</v>
      </c>
      <c r="K65">
        <v>0</v>
      </c>
      <c r="L65">
        <v>-2361.7606003195042</v>
      </c>
      <c r="M65">
        <v>19.83877879578743</v>
      </c>
      <c r="N65">
        <v>25.825759867790239</v>
      </c>
      <c r="O65">
        <v>16.9754843487142</v>
      </c>
      <c r="P65">
        <v>16.17859105395674</v>
      </c>
      <c r="Q65">
        <v>36.814263144501638</v>
      </c>
      <c r="R65">
        <v>30.474853260351129</v>
      </c>
      <c r="S65" t="s">
        <v>26</v>
      </c>
      <c r="T65" t="s">
        <v>27</v>
      </c>
      <c r="U65">
        <v>1024</v>
      </c>
      <c r="V65">
        <v>1024</v>
      </c>
      <c r="W65">
        <v>2400</v>
      </c>
      <c r="X65">
        <v>64</v>
      </c>
      <c r="Y65" t="s">
        <v>91</v>
      </c>
      <c r="Z65">
        <v>21.237967967987061</v>
      </c>
    </row>
    <row r="66" spans="1:26" x14ac:dyDescent="0.3">
      <c r="A66">
        <v>0.375</v>
      </c>
      <c r="B66">
        <v>2.708333333333333</v>
      </c>
      <c r="C66">
        <v>3.5</v>
      </c>
      <c r="D66">
        <v>4.625</v>
      </c>
      <c r="E66">
        <v>8.5</v>
      </c>
      <c r="F66">
        <v>44.333333333333343</v>
      </c>
      <c r="G66">
        <v>16.083333333333329</v>
      </c>
      <c r="H66">
        <v>12.16666666666667</v>
      </c>
      <c r="I66">
        <v>4.833333333333333</v>
      </c>
      <c r="J66">
        <v>0.87500000000000011</v>
      </c>
      <c r="K66">
        <v>2</v>
      </c>
      <c r="L66">
        <v>-22.652525314213221</v>
      </c>
      <c r="M66">
        <v>17.973220808789261</v>
      </c>
      <c r="N66">
        <v>22.062627207735542</v>
      </c>
      <c r="O66">
        <v>21.44345860679779</v>
      </c>
      <c r="P66">
        <v>25.532031453222409</v>
      </c>
      <c r="Q66">
        <v>39.416679415587048</v>
      </c>
      <c r="R66">
        <v>33.743801644685071</v>
      </c>
      <c r="S66" t="s">
        <v>26</v>
      </c>
      <c r="T66" t="s">
        <v>27</v>
      </c>
      <c r="U66">
        <v>1024</v>
      </c>
      <c r="V66">
        <v>1024</v>
      </c>
      <c r="W66">
        <v>2400</v>
      </c>
      <c r="X66">
        <v>65</v>
      </c>
      <c r="Y66" t="s">
        <v>92</v>
      </c>
      <c r="Z66">
        <v>20.875623464584351</v>
      </c>
    </row>
    <row r="67" spans="1:26" x14ac:dyDescent="0.3">
      <c r="A67">
        <v>0</v>
      </c>
      <c r="B67">
        <v>0.95833333333333326</v>
      </c>
      <c r="C67">
        <v>3.541666666666667</v>
      </c>
      <c r="D67">
        <v>3.958333333333333</v>
      </c>
      <c r="E67">
        <v>9.7083333333333321</v>
      </c>
      <c r="F67">
        <v>39.041666666666671</v>
      </c>
      <c r="G67">
        <v>19.208333333333329</v>
      </c>
      <c r="H67">
        <v>17.833333333333339</v>
      </c>
      <c r="I67">
        <v>5.75</v>
      </c>
      <c r="J67">
        <v>0</v>
      </c>
      <c r="K67">
        <v>0</v>
      </c>
      <c r="L67">
        <v>-1432.3401036833011</v>
      </c>
      <c r="M67">
        <v>13.98816346590141</v>
      </c>
      <c r="N67">
        <v>16.103380641999209</v>
      </c>
      <c r="O67">
        <v>21.505601555603299</v>
      </c>
      <c r="P67">
        <v>19.79593848752512</v>
      </c>
      <c r="Q67">
        <v>35.493765021504707</v>
      </c>
      <c r="R67">
        <v>25.518582419542689</v>
      </c>
      <c r="S67" t="s">
        <v>26</v>
      </c>
      <c r="T67" t="s">
        <v>27</v>
      </c>
      <c r="U67">
        <v>1024</v>
      </c>
      <c r="V67">
        <v>1024</v>
      </c>
      <c r="W67">
        <v>2400</v>
      </c>
      <c r="X67">
        <v>66</v>
      </c>
      <c r="Y67" t="s">
        <v>93</v>
      </c>
      <c r="Z67">
        <v>21.063023090362549</v>
      </c>
    </row>
    <row r="68" spans="1:26" x14ac:dyDescent="0.3">
      <c r="A68">
        <v>0.375</v>
      </c>
      <c r="B68">
        <v>2.041666666666667</v>
      </c>
      <c r="C68">
        <v>3.875</v>
      </c>
      <c r="D68">
        <v>3.833333333333333</v>
      </c>
      <c r="E68">
        <v>9.1666666666666661</v>
      </c>
      <c r="F68">
        <v>48.458333333333329</v>
      </c>
      <c r="G68">
        <v>19.166666666666671</v>
      </c>
      <c r="H68">
        <v>13.08333333333333</v>
      </c>
      <c r="I68">
        <v>0</v>
      </c>
      <c r="J68">
        <v>0</v>
      </c>
      <c r="K68">
        <v>0</v>
      </c>
      <c r="L68">
        <v>105.1613036484021</v>
      </c>
      <c r="M68">
        <v>17.349915033274009</v>
      </c>
      <c r="N68">
        <v>21.218624528110929</v>
      </c>
      <c r="O68">
        <v>12.669461406572189</v>
      </c>
      <c r="P68">
        <v>12.69954134849233</v>
      </c>
      <c r="Q68">
        <v>30.019376439846202</v>
      </c>
      <c r="R68">
        <v>24.728695423071091</v>
      </c>
      <c r="S68" t="s">
        <v>26</v>
      </c>
      <c r="T68" t="s">
        <v>27</v>
      </c>
      <c r="U68">
        <v>1024</v>
      </c>
      <c r="V68">
        <v>1024</v>
      </c>
      <c r="W68">
        <v>2400</v>
      </c>
      <c r="X68">
        <v>67</v>
      </c>
      <c r="Y68" t="s">
        <v>94</v>
      </c>
      <c r="Z68">
        <v>20.825733661651611</v>
      </c>
    </row>
    <row r="69" spans="1:26" x14ac:dyDescent="0.3">
      <c r="A69">
        <v>0</v>
      </c>
      <c r="B69">
        <v>0.45833333333333331</v>
      </c>
      <c r="C69">
        <v>2</v>
      </c>
      <c r="D69">
        <v>3.583333333333333</v>
      </c>
      <c r="E69">
        <v>10.58333333333333</v>
      </c>
      <c r="F69">
        <v>50.125</v>
      </c>
      <c r="G69">
        <v>18.541666666666671</v>
      </c>
      <c r="H69">
        <v>14.70833333333333</v>
      </c>
      <c r="I69">
        <v>0</v>
      </c>
      <c r="J69">
        <v>0</v>
      </c>
      <c r="K69">
        <v>0</v>
      </c>
      <c r="L69">
        <v>-2216.2230900732052</v>
      </c>
      <c r="M69">
        <v>10.063279044140859</v>
      </c>
      <c r="N69">
        <v>13.32649100122805</v>
      </c>
      <c r="O69">
        <v>13.51116468322758</v>
      </c>
      <c r="P69">
        <v>12.030240233304539</v>
      </c>
      <c r="Q69">
        <v>23.57444372736844</v>
      </c>
      <c r="R69">
        <v>17.953329565204101</v>
      </c>
      <c r="S69" t="s">
        <v>26</v>
      </c>
      <c r="T69" t="s">
        <v>27</v>
      </c>
      <c r="U69">
        <v>1024</v>
      </c>
      <c r="V69">
        <v>1024</v>
      </c>
      <c r="W69">
        <v>2400</v>
      </c>
      <c r="X69">
        <v>68</v>
      </c>
      <c r="Y69" t="s">
        <v>95</v>
      </c>
      <c r="Z69">
        <v>21.031739473342899</v>
      </c>
    </row>
    <row r="70" spans="1:26" x14ac:dyDescent="0.3">
      <c r="A70">
        <v>0</v>
      </c>
      <c r="B70">
        <v>0.5</v>
      </c>
      <c r="C70">
        <v>5.0416666666666661</v>
      </c>
      <c r="D70">
        <v>3.625</v>
      </c>
      <c r="E70">
        <v>10.45833333333333</v>
      </c>
      <c r="F70">
        <v>48.125</v>
      </c>
      <c r="G70">
        <v>12.29166666666667</v>
      </c>
      <c r="H70">
        <v>14.5</v>
      </c>
      <c r="I70">
        <v>5.458333333333333</v>
      </c>
      <c r="J70">
        <v>0</v>
      </c>
      <c r="K70">
        <v>0</v>
      </c>
      <c r="L70">
        <v>-1842.8527063657009</v>
      </c>
      <c r="M70">
        <v>15.070630045962311</v>
      </c>
      <c r="N70">
        <v>16.783713591482879</v>
      </c>
      <c r="O70">
        <v>18.439833486212329</v>
      </c>
      <c r="P70">
        <v>20.822187905816659</v>
      </c>
      <c r="Q70">
        <v>33.51046353217464</v>
      </c>
      <c r="R70">
        <v>26.744280717679899</v>
      </c>
      <c r="S70" t="s">
        <v>26</v>
      </c>
      <c r="T70" t="s">
        <v>27</v>
      </c>
      <c r="U70">
        <v>1024</v>
      </c>
      <c r="V70">
        <v>1024</v>
      </c>
      <c r="W70">
        <v>2400</v>
      </c>
      <c r="X70">
        <v>69</v>
      </c>
      <c r="Y70" t="s">
        <v>96</v>
      </c>
      <c r="Z70">
        <v>20.865578651428219</v>
      </c>
    </row>
    <row r="71" spans="1:26" x14ac:dyDescent="0.3">
      <c r="A71">
        <v>1.875</v>
      </c>
      <c r="B71">
        <v>1.375</v>
      </c>
      <c r="C71">
        <v>2.833333333333333</v>
      </c>
      <c r="D71">
        <v>5.375</v>
      </c>
      <c r="E71">
        <v>9.7916666666666661</v>
      </c>
      <c r="F71">
        <v>50.291666666666671</v>
      </c>
      <c r="G71">
        <v>15.41666666666667</v>
      </c>
      <c r="H71">
        <v>13.04166666666667</v>
      </c>
      <c r="I71">
        <v>0</v>
      </c>
      <c r="J71">
        <v>0</v>
      </c>
      <c r="K71">
        <v>0</v>
      </c>
      <c r="L71">
        <v>-2778.7902828353549</v>
      </c>
      <c r="M71">
        <v>17.021839967982011</v>
      </c>
      <c r="N71">
        <v>24.0221971450399</v>
      </c>
      <c r="O71">
        <v>13.841885961420459</v>
      </c>
      <c r="P71">
        <v>14.44099162776582</v>
      </c>
      <c r="Q71">
        <v>30.86372592940247</v>
      </c>
      <c r="R71">
        <v>28.028703053626401</v>
      </c>
      <c r="S71" t="s">
        <v>26</v>
      </c>
      <c r="T71" t="s">
        <v>27</v>
      </c>
      <c r="U71">
        <v>1024</v>
      </c>
      <c r="V71">
        <v>1024</v>
      </c>
      <c r="W71">
        <v>2400</v>
      </c>
      <c r="X71">
        <v>70</v>
      </c>
      <c r="Y71" t="s">
        <v>97</v>
      </c>
      <c r="Z71">
        <v>20.668980121612549</v>
      </c>
    </row>
    <row r="72" spans="1:26" x14ac:dyDescent="0.3">
      <c r="A72">
        <v>0.75</v>
      </c>
      <c r="B72">
        <v>1.583333333333333</v>
      </c>
      <c r="C72">
        <v>4</v>
      </c>
      <c r="D72">
        <v>4.3333333333333339</v>
      </c>
      <c r="E72">
        <v>7.7916666666666661</v>
      </c>
      <c r="F72">
        <v>40.708333333333343</v>
      </c>
      <c r="G72">
        <v>17.375</v>
      </c>
      <c r="H72">
        <v>22.458333333333329</v>
      </c>
      <c r="I72">
        <v>1</v>
      </c>
      <c r="J72">
        <v>0</v>
      </c>
      <c r="K72">
        <v>0</v>
      </c>
      <c r="L72">
        <v>-175.77548404876481</v>
      </c>
      <c r="M72">
        <v>16.431023700649149</v>
      </c>
      <c r="N72">
        <v>21.92815185499996</v>
      </c>
      <c r="O72">
        <v>19.69949204765442</v>
      </c>
      <c r="P72">
        <v>16.307080576815171</v>
      </c>
      <c r="Q72">
        <v>36.13051574830358</v>
      </c>
      <c r="R72">
        <v>27.3269961890194</v>
      </c>
      <c r="S72" t="s">
        <v>26</v>
      </c>
      <c r="T72" t="s">
        <v>27</v>
      </c>
      <c r="U72">
        <v>1024</v>
      </c>
      <c r="V72">
        <v>1024</v>
      </c>
      <c r="W72">
        <v>2400</v>
      </c>
      <c r="X72">
        <v>71</v>
      </c>
      <c r="Y72" t="s">
        <v>98</v>
      </c>
      <c r="Z72">
        <v>20.914102792739872</v>
      </c>
    </row>
    <row r="73" spans="1:26" x14ac:dyDescent="0.3">
      <c r="A73">
        <v>0.20833333333333329</v>
      </c>
      <c r="B73">
        <v>0.70833333333333326</v>
      </c>
      <c r="C73">
        <v>4.666666666666667</v>
      </c>
      <c r="D73">
        <v>7.375</v>
      </c>
      <c r="E73">
        <v>9.875</v>
      </c>
      <c r="F73">
        <v>46.041666666666657</v>
      </c>
      <c r="G73">
        <v>13.75</v>
      </c>
      <c r="H73">
        <v>14.04166666666667</v>
      </c>
      <c r="I73">
        <v>3.333333333333333</v>
      </c>
      <c r="J73">
        <v>0</v>
      </c>
      <c r="K73">
        <v>0</v>
      </c>
      <c r="L73">
        <v>122.25520452952451</v>
      </c>
      <c r="M73">
        <v>16.485599338881318</v>
      </c>
      <c r="N73">
        <v>17.554313786942739</v>
      </c>
      <c r="O73">
        <v>16.924318529276992</v>
      </c>
      <c r="P73">
        <v>19.304121047246522</v>
      </c>
      <c r="Q73">
        <v>33.409917868158317</v>
      </c>
      <c r="R73">
        <v>26.092202320563011</v>
      </c>
      <c r="S73" t="s">
        <v>26</v>
      </c>
      <c r="T73" t="s">
        <v>27</v>
      </c>
      <c r="U73">
        <v>1024</v>
      </c>
      <c r="V73">
        <v>1024</v>
      </c>
      <c r="W73">
        <v>2400</v>
      </c>
      <c r="X73">
        <v>72</v>
      </c>
      <c r="Y73" t="s">
        <v>99</v>
      </c>
      <c r="Z73">
        <v>20.624007701873779</v>
      </c>
    </row>
    <row r="74" spans="1:26" x14ac:dyDescent="0.3">
      <c r="A74">
        <v>0</v>
      </c>
      <c r="B74">
        <v>8.3333333333333343E-2</v>
      </c>
      <c r="C74">
        <v>3.958333333333333</v>
      </c>
      <c r="D74">
        <v>4.875</v>
      </c>
      <c r="E74">
        <v>9.875</v>
      </c>
      <c r="F74">
        <v>53.916666666666671</v>
      </c>
      <c r="G74">
        <v>13.91666666666667</v>
      </c>
      <c r="H74">
        <v>11.58333333333333</v>
      </c>
      <c r="I74">
        <v>1.791666666666667</v>
      </c>
      <c r="J74">
        <v>0</v>
      </c>
      <c r="K74">
        <v>0</v>
      </c>
      <c r="L74">
        <v>-190.76727645673489</v>
      </c>
      <c r="M74">
        <v>12.77237030216776</v>
      </c>
      <c r="N74">
        <v>14.485970059141369</v>
      </c>
      <c r="O74">
        <v>13.05406255612135</v>
      </c>
      <c r="P74">
        <v>15.945674593798859</v>
      </c>
      <c r="Q74">
        <v>25.82643285828911</v>
      </c>
      <c r="R74">
        <v>21.543162878409071</v>
      </c>
      <c r="S74" t="s">
        <v>26</v>
      </c>
      <c r="T74" t="s">
        <v>27</v>
      </c>
      <c r="U74">
        <v>1024</v>
      </c>
      <c r="V74">
        <v>1024</v>
      </c>
      <c r="W74">
        <v>2400</v>
      </c>
      <c r="X74">
        <v>73</v>
      </c>
      <c r="Y74" t="s">
        <v>100</v>
      </c>
      <c r="Z74">
        <v>20.78559422492981</v>
      </c>
    </row>
    <row r="75" spans="1:26" x14ac:dyDescent="0.3">
      <c r="A75">
        <v>0</v>
      </c>
      <c r="B75">
        <v>2.708333333333333</v>
      </c>
      <c r="C75">
        <v>5.291666666666667</v>
      </c>
      <c r="D75">
        <v>4</v>
      </c>
      <c r="E75">
        <v>7.5</v>
      </c>
      <c r="F75">
        <v>49.916666666666657</v>
      </c>
      <c r="G75">
        <v>11.875</v>
      </c>
      <c r="H75">
        <v>17.25</v>
      </c>
      <c r="I75">
        <v>1.458333333333333</v>
      </c>
      <c r="J75">
        <v>0</v>
      </c>
      <c r="K75">
        <v>0</v>
      </c>
      <c r="L75">
        <v>12.182784657699809</v>
      </c>
      <c r="M75">
        <v>17.587758577031291</v>
      </c>
      <c r="N75">
        <v>20.864515235898029</v>
      </c>
      <c r="O75">
        <v>16.018647791317971</v>
      </c>
      <c r="P75">
        <v>17.288273801883179</v>
      </c>
      <c r="Q75">
        <v>33.606406368349248</v>
      </c>
      <c r="R75">
        <v>27.096354128884229</v>
      </c>
      <c r="S75" t="s">
        <v>26</v>
      </c>
      <c r="T75" t="s">
        <v>27</v>
      </c>
      <c r="U75">
        <v>1024</v>
      </c>
      <c r="V75">
        <v>1024</v>
      </c>
      <c r="W75">
        <v>2400</v>
      </c>
      <c r="X75">
        <v>74</v>
      </c>
      <c r="Y75" t="s">
        <v>101</v>
      </c>
      <c r="Z75">
        <v>20.709496021270748</v>
      </c>
    </row>
    <row r="76" spans="1:26" x14ac:dyDescent="0.3">
      <c r="A76">
        <v>0</v>
      </c>
      <c r="B76">
        <v>0</v>
      </c>
      <c r="C76">
        <v>1.541666666666667</v>
      </c>
      <c r="D76">
        <v>4.875</v>
      </c>
      <c r="E76">
        <v>8.6666666666666679</v>
      </c>
      <c r="F76">
        <v>51.749999999999993</v>
      </c>
      <c r="G76">
        <v>13</v>
      </c>
      <c r="H76">
        <v>18.041666666666671</v>
      </c>
      <c r="I76">
        <v>2.125</v>
      </c>
      <c r="J76">
        <v>0</v>
      </c>
      <c r="K76">
        <v>0</v>
      </c>
      <c r="L76">
        <v>89.016661265989569</v>
      </c>
      <c r="M76">
        <v>10.177372868372309</v>
      </c>
      <c r="N76">
        <v>11.87024147212051</v>
      </c>
      <c r="O76">
        <v>16.647678884052841</v>
      </c>
      <c r="P76">
        <v>17.603107604065709</v>
      </c>
      <c r="Q76">
        <v>26.82505175242515</v>
      </c>
      <c r="R76">
        <v>21.231392557408139</v>
      </c>
      <c r="S76" t="s">
        <v>26</v>
      </c>
      <c r="T76" t="s">
        <v>27</v>
      </c>
      <c r="U76">
        <v>1024</v>
      </c>
      <c r="V76">
        <v>1024</v>
      </c>
      <c r="W76">
        <v>2400</v>
      </c>
      <c r="X76">
        <v>75</v>
      </c>
      <c r="Y76" t="s">
        <v>102</v>
      </c>
      <c r="Z76">
        <v>20.966579437255859</v>
      </c>
    </row>
    <row r="77" spans="1:26" x14ac:dyDescent="0.3">
      <c r="A77">
        <v>0</v>
      </c>
      <c r="B77">
        <v>0.79166666666666674</v>
      </c>
      <c r="C77">
        <v>2.791666666666667</v>
      </c>
      <c r="D77">
        <v>4.583333333333333</v>
      </c>
      <c r="E77">
        <v>11</v>
      </c>
      <c r="F77">
        <v>45.75</v>
      </c>
      <c r="G77">
        <v>18.916666666666671</v>
      </c>
      <c r="H77">
        <v>16.166666666666661</v>
      </c>
      <c r="I77">
        <v>0</v>
      </c>
      <c r="J77">
        <v>0</v>
      </c>
      <c r="K77">
        <v>0</v>
      </c>
      <c r="L77">
        <v>-43.134428642022392</v>
      </c>
      <c r="M77">
        <v>13.81574839214213</v>
      </c>
      <c r="N77">
        <v>15.87589212799106</v>
      </c>
      <c r="O77">
        <v>14.84050549461675</v>
      </c>
      <c r="P77">
        <v>14.32576705535789</v>
      </c>
      <c r="Q77">
        <v>28.656253886758879</v>
      </c>
      <c r="R77">
        <v>21.38390873025757</v>
      </c>
      <c r="S77" t="s">
        <v>26</v>
      </c>
      <c r="T77" t="s">
        <v>27</v>
      </c>
      <c r="U77">
        <v>1024</v>
      </c>
      <c r="V77">
        <v>1024</v>
      </c>
      <c r="W77">
        <v>2400</v>
      </c>
      <c r="X77">
        <v>76</v>
      </c>
      <c r="Y77" t="s">
        <v>103</v>
      </c>
      <c r="Z77">
        <v>20.862316608428959</v>
      </c>
    </row>
    <row r="78" spans="1:26" x14ac:dyDescent="0.3">
      <c r="A78">
        <v>8.3333333333333343E-2</v>
      </c>
      <c r="B78">
        <v>1.208333333333333</v>
      </c>
      <c r="C78">
        <v>6.5</v>
      </c>
      <c r="D78">
        <v>8.4166666666666661</v>
      </c>
      <c r="E78">
        <v>7.9583333333333339</v>
      </c>
      <c r="F78">
        <v>37.333333333333343</v>
      </c>
      <c r="G78">
        <v>16.75</v>
      </c>
      <c r="H78">
        <v>21.75</v>
      </c>
      <c r="I78">
        <v>0</v>
      </c>
      <c r="J78">
        <v>0</v>
      </c>
      <c r="K78">
        <v>0</v>
      </c>
      <c r="L78">
        <v>-2672.641104734224</v>
      </c>
      <c r="M78">
        <v>20.163237800044509</v>
      </c>
      <c r="N78">
        <v>18.903249651893312</v>
      </c>
      <c r="O78">
        <v>16.98784404077146</v>
      </c>
      <c r="P78">
        <v>14.19165384349942</v>
      </c>
      <c r="Q78">
        <v>37.151081840815962</v>
      </c>
      <c r="R78">
        <v>23.637594763755391</v>
      </c>
      <c r="S78" t="s">
        <v>26</v>
      </c>
      <c r="T78" t="s">
        <v>27</v>
      </c>
      <c r="U78">
        <v>1024</v>
      </c>
      <c r="V78">
        <v>1024</v>
      </c>
      <c r="W78">
        <v>2400</v>
      </c>
      <c r="X78">
        <v>77</v>
      </c>
      <c r="Y78" t="s">
        <v>104</v>
      </c>
      <c r="Z78">
        <v>20.768592596054081</v>
      </c>
    </row>
    <row r="79" spans="1:26" x14ac:dyDescent="0.3">
      <c r="A79">
        <v>0.45833333333333331</v>
      </c>
      <c r="B79">
        <v>2.25</v>
      </c>
      <c r="C79">
        <v>2.416666666666667</v>
      </c>
      <c r="D79">
        <v>2.625</v>
      </c>
      <c r="E79">
        <v>10.375</v>
      </c>
      <c r="F79">
        <v>52.708333333333343</v>
      </c>
      <c r="G79">
        <v>12.70833333333333</v>
      </c>
      <c r="H79">
        <v>16.458333333333329</v>
      </c>
      <c r="I79">
        <v>0</v>
      </c>
      <c r="J79">
        <v>0</v>
      </c>
      <c r="K79">
        <v>0</v>
      </c>
      <c r="L79">
        <v>109.75722521598441</v>
      </c>
      <c r="M79">
        <v>15.229628577578101</v>
      </c>
      <c r="N79">
        <v>21.570800294734941</v>
      </c>
      <c r="O79">
        <v>14.13795107486701</v>
      </c>
      <c r="P79">
        <v>15.84667180776402</v>
      </c>
      <c r="Q79">
        <v>29.367579652445102</v>
      </c>
      <c r="R79">
        <v>26.76595660047143</v>
      </c>
      <c r="S79" t="s">
        <v>26</v>
      </c>
      <c r="T79" t="s">
        <v>27</v>
      </c>
      <c r="U79">
        <v>1024</v>
      </c>
      <c r="V79">
        <v>1024</v>
      </c>
      <c r="W79">
        <v>2400</v>
      </c>
      <c r="X79">
        <v>78</v>
      </c>
      <c r="Y79" t="s">
        <v>105</v>
      </c>
      <c r="Z79">
        <v>21.141127109527591</v>
      </c>
    </row>
    <row r="80" spans="1:26" x14ac:dyDescent="0.3">
      <c r="A80">
        <v>0.25</v>
      </c>
      <c r="B80">
        <v>1.75</v>
      </c>
      <c r="C80">
        <v>1.541666666666667</v>
      </c>
      <c r="D80">
        <v>3.958333333333333</v>
      </c>
      <c r="E80">
        <v>11.75</v>
      </c>
      <c r="F80">
        <v>40.5</v>
      </c>
      <c r="G80">
        <v>24.541666666666671</v>
      </c>
      <c r="H80">
        <v>12.91666666666667</v>
      </c>
      <c r="I80">
        <v>2.791666666666667</v>
      </c>
      <c r="J80">
        <v>0</v>
      </c>
      <c r="K80">
        <v>0</v>
      </c>
      <c r="L80">
        <v>116.354622975586</v>
      </c>
      <c r="M80">
        <v>14.050106662203181</v>
      </c>
      <c r="N80">
        <v>18.804024308392449</v>
      </c>
      <c r="O80">
        <v>17.367853019835572</v>
      </c>
      <c r="P80">
        <v>17.11906299331217</v>
      </c>
      <c r="Q80">
        <v>31.417959682038749</v>
      </c>
      <c r="R80">
        <v>25.429385520684619</v>
      </c>
      <c r="S80" t="s">
        <v>26</v>
      </c>
      <c r="T80" t="s">
        <v>27</v>
      </c>
      <c r="U80">
        <v>1024</v>
      </c>
      <c r="V80">
        <v>1024</v>
      </c>
      <c r="W80">
        <v>2400</v>
      </c>
      <c r="X80">
        <v>79</v>
      </c>
      <c r="Y80" t="s">
        <v>106</v>
      </c>
      <c r="Z80">
        <v>21.11883187294006</v>
      </c>
    </row>
    <row r="81" spans="1:26" x14ac:dyDescent="0.3">
      <c r="A81">
        <v>0</v>
      </c>
      <c r="B81">
        <v>0.95833333333333326</v>
      </c>
      <c r="C81">
        <v>3.208333333333333</v>
      </c>
      <c r="D81">
        <v>3.166666666666667</v>
      </c>
      <c r="E81">
        <v>11.58333333333333</v>
      </c>
      <c r="F81">
        <v>51.416666666666657</v>
      </c>
      <c r="G81">
        <v>10</v>
      </c>
      <c r="H81">
        <v>15.91666666666667</v>
      </c>
      <c r="I81">
        <v>1.041666666666667</v>
      </c>
      <c r="J81">
        <v>2.708333333333333</v>
      </c>
      <c r="K81">
        <v>0</v>
      </c>
      <c r="L81">
        <v>-2329.512388635555</v>
      </c>
      <c r="M81">
        <v>13.479385198959431</v>
      </c>
      <c r="N81">
        <v>16.63791272689874</v>
      </c>
      <c r="O81">
        <v>18.928309780344801</v>
      </c>
      <c r="P81">
        <v>22.65632185858583</v>
      </c>
      <c r="Q81">
        <v>32.407694979304217</v>
      </c>
      <c r="R81">
        <v>28.109234426923361</v>
      </c>
      <c r="S81" t="s">
        <v>26</v>
      </c>
      <c r="T81" t="s">
        <v>27</v>
      </c>
      <c r="U81">
        <v>1024</v>
      </c>
      <c r="V81">
        <v>1024</v>
      </c>
      <c r="W81">
        <v>2400</v>
      </c>
      <c r="X81">
        <v>80</v>
      </c>
      <c r="Y81" t="s">
        <v>107</v>
      </c>
      <c r="Z81">
        <v>20.717770099639889</v>
      </c>
    </row>
    <row r="82" spans="1:26" x14ac:dyDescent="0.3">
      <c r="A82">
        <v>0</v>
      </c>
      <c r="B82">
        <v>1.041666666666667</v>
      </c>
      <c r="C82">
        <v>3.208333333333333</v>
      </c>
      <c r="D82">
        <v>4.958333333333333</v>
      </c>
      <c r="E82">
        <v>11.45833333333333</v>
      </c>
      <c r="F82">
        <v>45.875</v>
      </c>
      <c r="G82">
        <v>17.458333333333339</v>
      </c>
      <c r="H82">
        <v>15.70833333333333</v>
      </c>
      <c r="I82">
        <v>0.29166666666666669</v>
      </c>
      <c r="J82">
        <v>0</v>
      </c>
      <c r="K82">
        <v>0</v>
      </c>
      <c r="L82">
        <v>-3619.5678378199791</v>
      </c>
      <c r="M82">
        <v>14.919318027674709</v>
      </c>
      <c r="N82">
        <v>16.532102180175361</v>
      </c>
      <c r="O82">
        <v>14.1071642681906</v>
      </c>
      <c r="P82">
        <v>13.35075062734898</v>
      </c>
      <c r="Q82">
        <v>29.026482295865321</v>
      </c>
      <c r="R82">
        <v>21.249775170796941</v>
      </c>
      <c r="S82" t="s">
        <v>26</v>
      </c>
      <c r="T82" t="s">
        <v>27</v>
      </c>
      <c r="U82">
        <v>1024</v>
      </c>
      <c r="V82">
        <v>1024</v>
      </c>
      <c r="W82">
        <v>2400</v>
      </c>
      <c r="X82">
        <v>81</v>
      </c>
      <c r="Y82" t="s">
        <v>108</v>
      </c>
      <c r="Z82">
        <v>20.857998847961429</v>
      </c>
    </row>
    <row r="83" spans="1:26" x14ac:dyDescent="0.3">
      <c r="A83">
        <v>1.041666666666667</v>
      </c>
      <c r="B83">
        <v>2.083333333333333</v>
      </c>
      <c r="C83">
        <v>5.083333333333333</v>
      </c>
      <c r="D83">
        <v>3.791666666666667</v>
      </c>
      <c r="E83">
        <v>9.875</v>
      </c>
      <c r="F83">
        <v>47.375</v>
      </c>
      <c r="G83">
        <v>12.375</v>
      </c>
      <c r="H83">
        <v>17.125</v>
      </c>
      <c r="I83">
        <v>1.25</v>
      </c>
      <c r="J83">
        <v>0</v>
      </c>
      <c r="K83">
        <v>0</v>
      </c>
      <c r="L83">
        <v>-457.53097507291142</v>
      </c>
      <c r="M83">
        <v>19.937621966769601</v>
      </c>
      <c r="N83">
        <v>23.92407046857377</v>
      </c>
      <c r="O83">
        <v>16.078032462561719</v>
      </c>
      <c r="P83">
        <v>17.05939063089766</v>
      </c>
      <c r="Q83">
        <v>36.01565442933132</v>
      </c>
      <c r="R83">
        <v>29.383395931764628</v>
      </c>
      <c r="S83" t="s">
        <v>26</v>
      </c>
      <c r="T83" t="s">
        <v>27</v>
      </c>
      <c r="U83">
        <v>1024</v>
      </c>
      <c r="V83">
        <v>1024</v>
      </c>
      <c r="W83">
        <v>2400</v>
      </c>
      <c r="X83">
        <v>82</v>
      </c>
      <c r="Y83" t="s">
        <v>109</v>
      </c>
      <c r="Z83">
        <v>20.948625087738041</v>
      </c>
    </row>
    <row r="84" spans="1:26" x14ac:dyDescent="0.3">
      <c r="A84">
        <v>0.45833333333333331</v>
      </c>
      <c r="B84">
        <v>1.708333333333333</v>
      </c>
      <c r="C84">
        <v>2</v>
      </c>
      <c r="D84">
        <v>4.083333333333333</v>
      </c>
      <c r="E84">
        <v>11.41666666666667</v>
      </c>
      <c r="F84">
        <v>49.916666666666657</v>
      </c>
      <c r="G84">
        <v>12.5</v>
      </c>
      <c r="H84">
        <v>13.95833333333333</v>
      </c>
      <c r="I84">
        <v>3.958333333333333</v>
      </c>
      <c r="J84">
        <v>0</v>
      </c>
      <c r="K84">
        <v>0</v>
      </c>
      <c r="L84">
        <v>-1606.432588521044</v>
      </c>
      <c r="M84">
        <v>14.007295107773119</v>
      </c>
      <c r="N84">
        <v>19.385068622897151</v>
      </c>
      <c r="O84">
        <v>17.80753772890975</v>
      </c>
      <c r="P84">
        <v>20.38535769936226</v>
      </c>
      <c r="Q84">
        <v>31.814832836682871</v>
      </c>
      <c r="R84">
        <v>28.130831733977931</v>
      </c>
      <c r="S84" t="s">
        <v>26</v>
      </c>
      <c r="T84" t="s">
        <v>27</v>
      </c>
      <c r="U84">
        <v>1024</v>
      </c>
      <c r="V84">
        <v>1024</v>
      </c>
      <c r="W84">
        <v>2400</v>
      </c>
      <c r="X84">
        <v>83</v>
      </c>
      <c r="Y84" t="s">
        <v>110</v>
      </c>
      <c r="Z84">
        <v>20.771222114562988</v>
      </c>
    </row>
    <row r="85" spans="1:26" x14ac:dyDescent="0.3">
      <c r="A85">
        <v>0.375</v>
      </c>
      <c r="B85">
        <v>2.666666666666667</v>
      </c>
      <c r="C85">
        <v>3.958333333333333</v>
      </c>
      <c r="D85">
        <v>4.958333333333333</v>
      </c>
      <c r="E85">
        <v>9.0833333333333339</v>
      </c>
      <c r="F85">
        <v>39</v>
      </c>
      <c r="G85">
        <v>18.916666666666671</v>
      </c>
      <c r="H85">
        <v>16.291666666666661</v>
      </c>
      <c r="I85">
        <v>4.25</v>
      </c>
      <c r="J85">
        <v>0.5</v>
      </c>
      <c r="K85">
        <v>0</v>
      </c>
      <c r="L85">
        <v>124.98181605543139</v>
      </c>
      <c r="M85">
        <v>19.36980440963238</v>
      </c>
      <c r="N85">
        <v>22.06205886688883</v>
      </c>
      <c r="O85">
        <v>19.77172674541394</v>
      </c>
      <c r="P85">
        <v>20.171379058871828</v>
      </c>
      <c r="Q85">
        <v>39.141531155046323</v>
      </c>
      <c r="R85">
        <v>29.893460398267059</v>
      </c>
      <c r="S85" t="s">
        <v>26</v>
      </c>
      <c r="T85" t="s">
        <v>27</v>
      </c>
      <c r="U85">
        <v>1024</v>
      </c>
      <c r="V85">
        <v>1024</v>
      </c>
      <c r="W85">
        <v>2400</v>
      </c>
      <c r="X85">
        <v>84</v>
      </c>
      <c r="Y85" t="s">
        <v>111</v>
      </c>
      <c r="Z85">
        <v>21.208470344543461</v>
      </c>
    </row>
    <row r="86" spans="1:26" x14ac:dyDescent="0.3">
      <c r="A86">
        <v>0</v>
      </c>
      <c r="B86">
        <v>0</v>
      </c>
      <c r="C86">
        <v>1.625</v>
      </c>
      <c r="D86">
        <v>5.583333333333333</v>
      </c>
      <c r="E86">
        <v>13.04166666666667</v>
      </c>
      <c r="F86">
        <v>46.333333333333329</v>
      </c>
      <c r="G86">
        <v>16.041666666666671</v>
      </c>
      <c r="H86">
        <v>14.70833333333333</v>
      </c>
      <c r="I86">
        <v>2.666666666666667</v>
      </c>
      <c r="J86">
        <v>0</v>
      </c>
      <c r="K86">
        <v>0</v>
      </c>
      <c r="L86">
        <v>122.4935912497822</v>
      </c>
      <c r="M86">
        <v>11.695677872783399</v>
      </c>
      <c r="N86">
        <v>11.758324438689529</v>
      </c>
      <c r="O86">
        <v>16.176492680566739</v>
      </c>
      <c r="P86">
        <v>17.417309586159831</v>
      </c>
      <c r="Q86">
        <v>27.872170553350141</v>
      </c>
      <c r="R86">
        <v>21.014777344183749</v>
      </c>
      <c r="S86" t="s">
        <v>26</v>
      </c>
      <c r="T86" t="s">
        <v>27</v>
      </c>
      <c r="U86">
        <v>1024</v>
      </c>
      <c r="V86">
        <v>1024</v>
      </c>
      <c r="W86">
        <v>2400</v>
      </c>
      <c r="X86">
        <v>85</v>
      </c>
      <c r="Y86" t="s">
        <v>112</v>
      </c>
      <c r="Z86">
        <v>20.918039798736569</v>
      </c>
    </row>
    <row r="87" spans="1:26" x14ac:dyDescent="0.3">
      <c r="A87">
        <v>8.3333333333333343E-2</v>
      </c>
      <c r="B87">
        <v>1.333333333333333</v>
      </c>
      <c r="C87">
        <v>2.291666666666667</v>
      </c>
      <c r="D87">
        <v>4.666666666666667</v>
      </c>
      <c r="E87">
        <v>12.66666666666667</v>
      </c>
      <c r="F87">
        <v>42.541666666666657</v>
      </c>
      <c r="G87">
        <v>20.25</v>
      </c>
      <c r="H87">
        <v>11.29166666666667</v>
      </c>
      <c r="I87">
        <v>4.875</v>
      </c>
      <c r="J87">
        <v>0</v>
      </c>
      <c r="K87">
        <v>0</v>
      </c>
      <c r="L87">
        <v>-202.46493495989401</v>
      </c>
      <c r="M87">
        <v>15.76329917415258</v>
      </c>
      <c r="N87">
        <v>16.952117949783279</v>
      </c>
      <c r="O87">
        <v>16.823236102575461</v>
      </c>
      <c r="P87">
        <v>19.045914958284321</v>
      </c>
      <c r="Q87">
        <v>32.586535276728043</v>
      </c>
      <c r="R87">
        <v>25.497473984329559</v>
      </c>
      <c r="S87" t="s">
        <v>26</v>
      </c>
      <c r="T87" t="s">
        <v>27</v>
      </c>
      <c r="U87">
        <v>1024</v>
      </c>
      <c r="V87">
        <v>1024</v>
      </c>
      <c r="W87">
        <v>2400</v>
      </c>
      <c r="X87">
        <v>86</v>
      </c>
      <c r="Y87" t="s">
        <v>113</v>
      </c>
      <c r="Z87">
        <v>20.511043310165409</v>
      </c>
    </row>
    <row r="88" spans="1:26" x14ac:dyDescent="0.3">
      <c r="A88">
        <v>0.66666666666666674</v>
      </c>
      <c r="B88">
        <v>0.33333333333333343</v>
      </c>
      <c r="C88">
        <v>2.125</v>
      </c>
      <c r="D88">
        <v>4.125</v>
      </c>
      <c r="E88">
        <v>8.7916666666666679</v>
      </c>
      <c r="F88">
        <v>50.958333333333343</v>
      </c>
      <c r="G88">
        <v>17.75</v>
      </c>
      <c r="H88">
        <v>15.25</v>
      </c>
      <c r="I88">
        <v>0</v>
      </c>
      <c r="J88">
        <v>0</v>
      </c>
      <c r="K88">
        <v>0</v>
      </c>
      <c r="L88">
        <v>-188.32704572424541</v>
      </c>
      <c r="M88">
        <v>12.54415243090158</v>
      </c>
      <c r="N88">
        <v>17.905205340130941</v>
      </c>
      <c r="O88">
        <v>14.04762166394238</v>
      </c>
      <c r="P88">
        <v>13.75887804378374</v>
      </c>
      <c r="Q88">
        <v>26.591774094843959</v>
      </c>
      <c r="R88">
        <v>22.58103415027681</v>
      </c>
      <c r="S88" t="s">
        <v>26</v>
      </c>
      <c r="T88" t="s">
        <v>27</v>
      </c>
      <c r="U88">
        <v>1024</v>
      </c>
      <c r="V88">
        <v>1024</v>
      </c>
      <c r="W88">
        <v>2400</v>
      </c>
      <c r="X88">
        <v>87</v>
      </c>
      <c r="Y88" t="s">
        <v>114</v>
      </c>
      <c r="Z88">
        <v>20.949678182601929</v>
      </c>
    </row>
    <row r="89" spans="1:26" x14ac:dyDescent="0.3">
      <c r="A89">
        <v>1.125</v>
      </c>
      <c r="B89">
        <v>1.916666666666667</v>
      </c>
      <c r="C89">
        <v>3.375</v>
      </c>
      <c r="D89">
        <v>4.1666666666666661</v>
      </c>
      <c r="E89">
        <v>9.7916666666666661</v>
      </c>
      <c r="F89">
        <v>40.666666666666657</v>
      </c>
      <c r="G89">
        <v>21.583333333333329</v>
      </c>
      <c r="H89">
        <v>17.375</v>
      </c>
      <c r="I89">
        <v>0</v>
      </c>
      <c r="J89">
        <v>0</v>
      </c>
      <c r="K89">
        <v>0</v>
      </c>
      <c r="L89">
        <v>-363.04104773007731</v>
      </c>
      <c r="M89">
        <v>19.702695910676191</v>
      </c>
      <c r="N89">
        <v>24.58987600880646</v>
      </c>
      <c r="O89">
        <v>15.221553681153409</v>
      </c>
      <c r="P89">
        <v>13.94915552902712</v>
      </c>
      <c r="Q89">
        <v>34.9242495918296</v>
      </c>
      <c r="R89">
        <v>28.270849688353259</v>
      </c>
      <c r="S89" t="s">
        <v>26</v>
      </c>
      <c r="T89" t="s">
        <v>27</v>
      </c>
      <c r="U89">
        <v>1024</v>
      </c>
      <c r="V89">
        <v>1024</v>
      </c>
      <c r="W89">
        <v>2400</v>
      </c>
      <c r="X89">
        <v>88</v>
      </c>
      <c r="Y89" t="s">
        <v>115</v>
      </c>
      <c r="Z89">
        <v>21.073297739028931</v>
      </c>
    </row>
    <row r="90" spans="1:26" x14ac:dyDescent="0.3">
      <c r="A90">
        <v>0.41666666666666669</v>
      </c>
      <c r="B90">
        <v>2.458333333333333</v>
      </c>
      <c r="C90">
        <v>4.0416666666666661</v>
      </c>
      <c r="D90">
        <v>4.25</v>
      </c>
      <c r="E90">
        <v>9.0833333333333339</v>
      </c>
      <c r="F90">
        <v>43.333333333333343</v>
      </c>
      <c r="G90">
        <v>20.125</v>
      </c>
      <c r="H90">
        <v>16.291666666666661</v>
      </c>
      <c r="I90">
        <v>0</v>
      </c>
      <c r="J90">
        <v>0</v>
      </c>
      <c r="K90">
        <v>0</v>
      </c>
      <c r="L90">
        <v>-212.3386380956986</v>
      </c>
      <c r="M90">
        <v>18.630433651361031</v>
      </c>
      <c r="N90">
        <v>21.94495192377514</v>
      </c>
      <c r="O90">
        <v>14.54495630770524</v>
      </c>
      <c r="P90">
        <v>13.763245121240461</v>
      </c>
      <c r="Q90">
        <v>33.175389959066273</v>
      </c>
      <c r="R90">
        <v>25.90381885367777</v>
      </c>
      <c r="S90" t="s">
        <v>26</v>
      </c>
      <c r="T90" t="s">
        <v>27</v>
      </c>
      <c r="U90">
        <v>1024</v>
      </c>
      <c r="V90">
        <v>1024</v>
      </c>
      <c r="W90">
        <v>2400</v>
      </c>
      <c r="X90">
        <v>89</v>
      </c>
      <c r="Y90" t="s">
        <v>116</v>
      </c>
      <c r="Z90">
        <v>20.99842476844788</v>
      </c>
    </row>
    <row r="91" spans="1:26" x14ac:dyDescent="0.3">
      <c r="A91">
        <v>1.041666666666667</v>
      </c>
      <c r="B91">
        <v>1.458333333333333</v>
      </c>
      <c r="C91">
        <v>3.708333333333333</v>
      </c>
      <c r="D91">
        <v>4.0416666666666661</v>
      </c>
      <c r="E91">
        <v>11.20833333333333</v>
      </c>
      <c r="F91">
        <v>40.791666666666657</v>
      </c>
      <c r="G91">
        <v>16</v>
      </c>
      <c r="H91">
        <v>19.625</v>
      </c>
      <c r="I91">
        <v>2.125</v>
      </c>
      <c r="J91">
        <v>0</v>
      </c>
      <c r="K91">
        <v>0</v>
      </c>
      <c r="L91">
        <v>-321.85914721492441</v>
      </c>
      <c r="M91">
        <v>17.570446773851899</v>
      </c>
      <c r="N91">
        <v>22.335645920338472</v>
      </c>
      <c r="O91">
        <v>18.287869000056642</v>
      </c>
      <c r="P91">
        <v>16.714780804007479</v>
      </c>
      <c r="Q91">
        <v>35.858315773908537</v>
      </c>
      <c r="R91">
        <v>27.897400882604629</v>
      </c>
      <c r="S91" t="s">
        <v>26</v>
      </c>
      <c r="T91" t="s">
        <v>27</v>
      </c>
      <c r="U91">
        <v>1024</v>
      </c>
      <c r="V91">
        <v>1024</v>
      </c>
      <c r="W91">
        <v>2400</v>
      </c>
      <c r="X91">
        <v>90</v>
      </c>
      <c r="Y91" t="s">
        <v>117</v>
      </c>
      <c r="Z91">
        <v>20.992127656936649</v>
      </c>
    </row>
    <row r="92" spans="1:26" x14ac:dyDescent="0.3">
      <c r="A92">
        <v>0.375</v>
      </c>
      <c r="B92">
        <v>1.291666666666667</v>
      </c>
      <c r="C92">
        <v>3</v>
      </c>
      <c r="D92">
        <v>3.208333333333333</v>
      </c>
      <c r="E92">
        <v>10.45833333333333</v>
      </c>
      <c r="F92">
        <v>48.541666666666657</v>
      </c>
      <c r="G92">
        <v>16.625</v>
      </c>
      <c r="H92">
        <v>11.875</v>
      </c>
      <c r="I92">
        <v>2.166666666666667</v>
      </c>
      <c r="J92">
        <v>1.375</v>
      </c>
      <c r="K92">
        <v>1.083333333333333</v>
      </c>
      <c r="L92">
        <v>-1681.9039854171369</v>
      </c>
      <c r="M92">
        <v>14.30971668765946</v>
      </c>
      <c r="N92">
        <v>19.034111828377629</v>
      </c>
      <c r="O92">
        <v>17.754749162084469</v>
      </c>
      <c r="P92">
        <v>22.534599437125848</v>
      </c>
      <c r="Q92">
        <v>32.064465849743932</v>
      </c>
      <c r="R92">
        <v>29.49755218466268</v>
      </c>
      <c r="S92" t="s">
        <v>26</v>
      </c>
      <c r="T92" t="s">
        <v>27</v>
      </c>
      <c r="U92">
        <v>1024</v>
      </c>
      <c r="V92">
        <v>1024</v>
      </c>
      <c r="W92">
        <v>2400</v>
      </c>
      <c r="X92">
        <v>91</v>
      </c>
      <c r="Y92" t="s">
        <v>118</v>
      </c>
      <c r="Z92">
        <v>20.821417093276981</v>
      </c>
    </row>
    <row r="93" spans="1:26" x14ac:dyDescent="0.3">
      <c r="A93">
        <v>0</v>
      </c>
      <c r="B93">
        <v>2.333333333333333</v>
      </c>
      <c r="C93">
        <v>2.916666666666667</v>
      </c>
      <c r="D93">
        <v>5.5</v>
      </c>
      <c r="E93">
        <v>11.125</v>
      </c>
      <c r="F93">
        <v>44.083333333333343</v>
      </c>
      <c r="G93">
        <v>17</v>
      </c>
      <c r="H93">
        <v>14.54166666666667</v>
      </c>
      <c r="I93">
        <v>2.5</v>
      </c>
      <c r="J93">
        <v>0</v>
      </c>
      <c r="K93">
        <v>0</v>
      </c>
      <c r="L93">
        <v>55.840059168726043</v>
      </c>
      <c r="M93">
        <v>16.78208945171794</v>
      </c>
      <c r="N93">
        <v>19.241707614433999</v>
      </c>
      <c r="O93">
        <v>16.687128554560349</v>
      </c>
      <c r="P93">
        <v>17.699455639359979</v>
      </c>
      <c r="Q93">
        <v>33.469218006278282</v>
      </c>
      <c r="R93">
        <v>26.144101473354159</v>
      </c>
      <c r="S93" t="s">
        <v>26</v>
      </c>
      <c r="T93" t="s">
        <v>27</v>
      </c>
      <c r="U93">
        <v>1024</v>
      </c>
      <c r="V93">
        <v>1024</v>
      </c>
      <c r="W93">
        <v>2400</v>
      </c>
      <c r="X93">
        <v>92</v>
      </c>
      <c r="Y93" t="s">
        <v>119</v>
      </c>
      <c r="Z93">
        <v>21.06526947021484</v>
      </c>
    </row>
    <row r="94" spans="1:26" x14ac:dyDescent="0.3">
      <c r="A94">
        <v>0.29166666666666669</v>
      </c>
      <c r="B94">
        <v>1.916666666666667</v>
      </c>
      <c r="C94">
        <v>1.833333333333333</v>
      </c>
      <c r="D94">
        <v>4.958333333333333</v>
      </c>
      <c r="E94">
        <v>8.25</v>
      </c>
      <c r="F94">
        <v>40.833333333333343</v>
      </c>
      <c r="G94">
        <v>22.291666666666671</v>
      </c>
      <c r="H94">
        <v>15.75</v>
      </c>
      <c r="I94">
        <v>1.625</v>
      </c>
      <c r="J94">
        <v>1.333333333333333</v>
      </c>
      <c r="K94">
        <v>0.91666666666666663</v>
      </c>
      <c r="L94">
        <v>-1761.304387749014</v>
      </c>
      <c r="M94">
        <v>16.330238437129619</v>
      </c>
      <c r="N94">
        <v>20.972478614057191</v>
      </c>
      <c r="O94">
        <v>20.709415127373781</v>
      </c>
      <c r="P94">
        <v>22.36977189796772</v>
      </c>
      <c r="Q94">
        <v>37.039653564503404</v>
      </c>
      <c r="R94">
        <v>30.663521552231941</v>
      </c>
      <c r="S94" t="s">
        <v>26</v>
      </c>
      <c r="T94" t="s">
        <v>27</v>
      </c>
      <c r="U94">
        <v>1024</v>
      </c>
      <c r="V94">
        <v>1024</v>
      </c>
      <c r="W94">
        <v>2400</v>
      </c>
      <c r="X94">
        <v>93</v>
      </c>
      <c r="Y94" t="s">
        <v>120</v>
      </c>
      <c r="Z94">
        <v>21.021014451980591</v>
      </c>
    </row>
    <row r="95" spans="1:26" x14ac:dyDescent="0.3">
      <c r="A95">
        <v>0</v>
      </c>
      <c r="B95">
        <v>0.70833333333333326</v>
      </c>
      <c r="C95">
        <v>2.958333333333333</v>
      </c>
      <c r="D95">
        <v>5.25</v>
      </c>
      <c r="E95">
        <v>12.20833333333333</v>
      </c>
      <c r="F95">
        <v>43.583333333333343</v>
      </c>
      <c r="G95">
        <v>18.291666666666671</v>
      </c>
      <c r="H95">
        <v>14.04166666666667</v>
      </c>
      <c r="I95">
        <v>1.458333333333333</v>
      </c>
      <c r="J95">
        <v>1.5</v>
      </c>
      <c r="K95">
        <v>0</v>
      </c>
      <c r="L95">
        <v>-458.40804142809361</v>
      </c>
      <c r="M95">
        <v>13.36378129540075</v>
      </c>
      <c r="N95">
        <v>14.91896984898151</v>
      </c>
      <c r="O95">
        <v>16.984486436525781</v>
      </c>
      <c r="P95">
        <v>18.418888004606881</v>
      </c>
      <c r="Q95">
        <v>30.34826773192653</v>
      </c>
      <c r="R95">
        <v>23.702976536314392</v>
      </c>
      <c r="S95" t="s">
        <v>26</v>
      </c>
      <c r="T95" t="s">
        <v>27</v>
      </c>
      <c r="U95">
        <v>1024</v>
      </c>
      <c r="V95">
        <v>1024</v>
      </c>
      <c r="W95">
        <v>2400</v>
      </c>
      <c r="X95">
        <v>94</v>
      </c>
      <c r="Y95" t="s">
        <v>121</v>
      </c>
      <c r="Z95">
        <v>20.96724796295166</v>
      </c>
    </row>
    <row r="96" spans="1:26" x14ac:dyDescent="0.3">
      <c r="A96">
        <v>0</v>
      </c>
      <c r="B96">
        <v>0.20833333333333329</v>
      </c>
      <c r="C96">
        <v>4.75</v>
      </c>
      <c r="D96">
        <v>3.708333333333333</v>
      </c>
      <c r="E96">
        <v>9.375</v>
      </c>
      <c r="F96">
        <v>48.625</v>
      </c>
      <c r="G96">
        <v>17</v>
      </c>
      <c r="H96">
        <v>15.5</v>
      </c>
      <c r="I96">
        <v>0.83333333333333337</v>
      </c>
      <c r="J96">
        <v>0</v>
      </c>
      <c r="K96">
        <v>0</v>
      </c>
      <c r="L96">
        <v>122.59258030843741</v>
      </c>
      <c r="M96">
        <v>15.01590713664139</v>
      </c>
      <c r="N96">
        <v>16.53364162720036</v>
      </c>
      <c r="O96">
        <v>13.78905751489296</v>
      </c>
      <c r="P96">
        <v>15.155848555992399</v>
      </c>
      <c r="Q96">
        <v>28.804964651534348</v>
      </c>
      <c r="R96">
        <v>22.429022513450501</v>
      </c>
      <c r="S96" t="s">
        <v>26</v>
      </c>
      <c r="T96" t="s">
        <v>27</v>
      </c>
      <c r="U96">
        <v>1024</v>
      </c>
      <c r="V96">
        <v>1024</v>
      </c>
      <c r="W96">
        <v>2400</v>
      </c>
      <c r="X96">
        <v>95</v>
      </c>
      <c r="Y96" t="s">
        <v>122</v>
      </c>
      <c r="Z96">
        <v>21.40458345413208</v>
      </c>
    </row>
    <row r="97" spans="1:26" x14ac:dyDescent="0.3">
      <c r="A97">
        <v>0</v>
      </c>
      <c r="B97">
        <v>0.5</v>
      </c>
      <c r="C97">
        <v>3.333333333333333</v>
      </c>
      <c r="D97">
        <v>5.708333333333333</v>
      </c>
      <c r="E97">
        <v>9.125</v>
      </c>
      <c r="F97">
        <v>42.083333333333343</v>
      </c>
      <c r="G97">
        <v>17.166666666666671</v>
      </c>
      <c r="H97">
        <v>19.875</v>
      </c>
      <c r="I97">
        <v>2.208333333333333</v>
      </c>
      <c r="J97">
        <v>0</v>
      </c>
      <c r="K97">
        <v>0</v>
      </c>
      <c r="L97">
        <v>-1916.3134785244699</v>
      </c>
      <c r="M97">
        <v>14.37137262324678</v>
      </c>
      <c r="N97">
        <v>15.26470459286006</v>
      </c>
      <c r="O97">
        <v>18.332251004711971</v>
      </c>
      <c r="P97">
        <v>17.752835829518141</v>
      </c>
      <c r="Q97">
        <v>32.703623627958748</v>
      </c>
      <c r="R97">
        <v>23.413124231872729</v>
      </c>
      <c r="S97" t="s">
        <v>26</v>
      </c>
      <c r="T97" t="s">
        <v>27</v>
      </c>
      <c r="U97">
        <v>1024</v>
      </c>
      <c r="V97">
        <v>1024</v>
      </c>
      <c r="W97">
        <v>2400</v>
      </c>
      <c r="X97">
        <v>96</v>
      </c>
      <c r="Y97" t="s">
        <v>123</v>
      </c>
      <c r="Z97">
        <v>21.238935947418209</v>
      </c>
    </row>
    <row r="98" spans="1:26" x14ac:dyDescent="0.3">
      <c r="A98">
        <v>0</v>
      </c>
      <c r="B98">
        <v>0.375</v>
      </c>
      <c r="C98">
        <v>3.75</v>
      </c>
      <c r="D98">
        <v>6.625</v>
      </c>
      <c r="E98">
        <v>9.7916666666666661</v>
      </c>
      <c r="F98">
        <v>44.583333333333343</v>
      </c>
      <c r="G98">
        <v>21</v>
      </c>
      <c r="H98">
        <v>10.125</v>
      </c>
      <c r="I98">
        <v>2.125</v>
      </c>
      <c r="J98">
        <v>1.625</v>
      </c>
      <c r="K98">
        <v>0</v>
      </c>
      <c r="L98">
        <v>-1116.560075419957</v>
      </c>
      <c r="M98">
        <v>15.85141950137357</v>
      </c>
      <c r="N98">
        <v>15.51658874201236</v>
      </c>
      <c r="O98">
        <v>16.27652901361504</v>
      </c>
      <c r="P98">
        <v>19.85788858163918</v>
      </c>
      <c r="Q98">
        <v>32.12794851498861</v>
      </c>
      <c r="R98">
        <v>25.201195707933</v>
      </c>
      <c r="S98" t="s">
        <v>26</v>
      </c>
      <c r="T98" t="s">
        <v>27</v>
      </c>
      <c r="U98">
        <v>1024</v>
      </c>
      <c r="V98">
        <v>1024</v>
      </c>
      <c r="W98">
        <v>2400</v>
      </c>
      <c r="X98">
        <v>97</v>
      </c>
      <c r="Y98" t="s">
        <v>124</v>
      </c>
      <c r="Z98">
        <v>21.0257134437561</v>
      </c>
    </row>
    <row r="99" spans="1:26" x14ac:dyDescent="0.3">
      <c r="A99">
        <v>0.70833333333333326</v>
      </c>
      <c r="B99">
        <v>1.583333333333333</v>
      </c>
      <c r="C99">
        <v>2.708333333333333</v>
      </c>
      <c r="D99">
        <v>3.958333333333333</v>
      </c>
      <c r="E99">
        <v>11.16666666666667</v>
      </c>
      <c r="F99">
        <v>39.458333333333343</v>
      </c>
      <c r="G99">
        <v>21.333333333333339</v>
      </c>
      <c r="H99">
        <v>18.5</v>
      </c>
      <c r="I99">
        <v>0.58333333333333337</v>
      </c>
      <c r="J99">
        <v>0</v>
      </c>
      <c r="K99">
        <v>0</v>
      </c>
      <c r="L99">
        <v>-751.38895510656516</v>
      </c>
      <c r="M99">
        <v>18.085855248549251</v>
      </c>
      <c r="N99">
        <v>21.91505164587122</v>
      </c>
      <c r="O99">
        <v>17.497908652122661</v>
      </c>
      <c r="P99">
        <v>16.783793279822621</v>
      </c>
      <c r="Q99">
        <v>35.583763900671919</v>
      </c>
      <c r="R99">
        <v>27.603717240636669</v>
      </c>
      <c r="S99" t="s">
        <v>26</v>
      </c>
      <c r="T99" t="s">
        <v>27</v>
      </c>
      <c r="U99">
        <v>1024</v>
      </c>
      <c r="V99">
        <v>1024</v>
      </c>
      <c r="W99">
        <v>2400</v>
      </c>
      <c r="X99">
        <v>98</v>
      </c>
      <c r="Y99" t="s">
        <v>125</v>
      </c>
      <c r="Z99">
        <v>21.79525351524353</v>
      </c>
    </row>
    <row r="100" spans="1:26" x14ac:dyDescent="0.3">
      <c r="A100">
        <v>0.375</v>
      </c>
      <c r="B100">
        <v>0.91666666666666663</v>
      </c>
      <c r="C100">
        <v>3.166666666666667</v>
      </c>
      <c r="D100">
        <v>5.625</v>
      </c>
      <c r="E100">
        <v>14.125</v>
      </c>
      <c r="F100">
        <v>41.708333333333329</v>
      </c>
      <c r="G100">
        <v>14.125</v>
      </c>
      <c r="H100">
        <v>19.958333333333329</v>
      </c>
      <c r="I100">
        <v>0</v>
      </c>
      <c r="J100">
        <v>0</v>
      </c>
      <c r="K100">
        <v>0</v>
      </c>
      <c r="L100">
        <v>-1865.9851672736031</v>
      </c>
      <c r="M100">
        <v>15.547086934522509</v>
      </c>
      <c r="N100">
        <v>17.783933485521342</v>
      </c>
      <c r="O100">
        <v>17.186463691717389</v>
      </c>
      <c r="P100">
        <v>16.015419144517189</v>
      </c>
      <c r="Q100">
        <v>32.733550626239897</v>
      </c>
      <c r="R100">
        <v>23.932445353369449</v>
      </c>
      <c r="S100" t="s">
        <v>26</v>
      </c>
      <c r="T100" t="s">
        <v>27</v>
      </c>
      <c r="U100">
        <v>1024</v>
      </c>
      <c r="V100">
        <v>1024</v>
      </c>
      <c r="W100">
        <v>2400</v>
      </c>
      <c r="X100">
        <v>99</v>
      </c>
      <c r="Y100" t="s">
        <v>126</v>
      </c>
      <c r="Z100">
        <v>20.64799976348877</v>
      </c>
    </row>
    <row r="101" spans="1:26" x14ac:dyDescent="0.3">
      <c r="A101">
        <v>0.66666666666666674</v>
      </c>
      <c r="B101">
        <v>1.791666666666667</v>
      </c>
      <c r="C101">
        <v>3.791666666666667</v>
      </c>
      <c r="D101">
        <v>3.291666666666667</v>
      </c>
      <c r="E101">
        <v>9.75</v>
      </c>
      <c r="F101">
        <v>50.916666666666657</v>
      </c>
      <c r="G101">
        <v>13.08333333333333</v>
      </c>
      <c r="H101">
        <v>14.91666666666667</v>
      </c>
      <c r="I101">
        <v>1.791666666666667</v>
      </c>
      <c r="J101">
        <v>0</v>
      </c>
      <c r="K101">
        <v>0</v>
      </c>
      <c r="L101">
        <v>-1662.2083962835079</v>
      </c>
      <c r="M101">
        <v>15.779429046671201</v>
      </c>
      <c r="N101">
        <v>21.292773861520139</v>
      </c>
      <c r="O101">
        <v>15.607253846532039</v>
      </c>
      <c r="P101">
        <v>17.50790375486395</v>
      </c>
      <c r="Q101">
        <v>31.38668289320324</v>
      </c>
      <c r="R101">
        <v>27.566445411177241</v>
      </c>
      <c r="S101" t="s">
        <v>26</v>
      </c>
      <c r="T101" t="s">
        <v>27</v>
      </c>
      <c r="U101">
        <v>1024</v>
      </c>
      <c r="V101">
        <v>1024</v>
      </c>
      <c r="W101">
        <v>2400</v>
      </c>
      <c r="X101">
        <v>100</v>
      </c>
      <c r="Y101" t="s">
        <v>127</v>
      </c>
      <c r="Z101">
        <v>20.972249507904049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6"/>
  <sheetViews>
    <sheetView tabSelected="1" topLeftCell="L1" workbookViewId="0">
      <selection activeCell="I22" sqref="I22"/>
    </sheetView>
  </sheetViews>
  <sheetFormatPr defaultRowHeight="14.4" x14ac:dyDescent="0.3"/>
  <cols>
    <col min="1" max="1" width="14" bestFit="1" customWidth="1"/>
    <col min="2" max="2" width="16" bestFit="1" customWidth="1"/>
    <col min="3" max="3" width="16.21875" bestFit="1" customWidth="1"/>
    <col min="4" max="4" width="15" bestFit="1" customWidth="1"/>
    <col min="5" max="5" width="15.21875" bestFit="1" customWidth="1"/>
    <col min="6" max="6" width="16.21875" bestFit="1" customWidth="1"/>
    <col min="7" max="7" width="16.44140625" bestFit="1" customWidth="1"/>
    <col min="8" max="8" width="16.5546875" bestFit="1" customWidth="1"/>
    <col min="9" max="9" width="16.77734375" bestFit="1" customWidth="1"/>
    <col min="10" max="11" width="12" bestFit="1" customWidth="1"/>
    <col min="12" max="12" width="17.44140625" bestFit="1" customWidth="1"/>
    <col min="13" max="13" width="17.6640625" bestFit="1" customWidth="1"/>
    <col min="14" max="15" width="12" bestFit="1" customWidth="1"/>
    <col min="16" max="16" width="17.21875" bestFit="1" customWidth="1"/>
    <col min="17" max="17" width="17.44140625" bestFit="1" customWidth="1"/>
    <col min="18" max="18" width="16.77734375" bestFit="1" customWidth="1"/>
    <col min="19" max="19" width="17" bestFit="1" customWidth="1"/>
    <col min="20" max="20" width="15.5546875" bestFit="1" customWidth="1"/>
    <col min="21" max="21" width="15.77734375" bestFit="1" customWidth="1"/>
    <col min="22" max="22" width="16.5546875" bestFit="1" customWidth="1"/>
    <col min="23" max="23" width="16.77734375" bestFit="1" customWidth="1"/>
    <col min="24" max="24" width="12.6640625" bestFit="1" customWidth="1"/>
    <col min="25" max="25" width="12.33203125" bestFit="1" customWidth="1"/>
    <col min="26" max="26" width="18.44140625" bestFit="1" customWidth="1"/>
    <col min="27" max="27" width="15.33203125" bestFit="1" customWidth="1"/>
    <col min="28" max="28" width="18.77734375" bestFit="1" customWidth="1"/>
    <col min="29" max="29" width="15.6640625" bestFit="1" customWidth="1"/>
    <col min="30" max="30" width="16.21875" bestFit="1" customWidth="1"/>
    <col min="31" max="31" width="13.21875" bestFit="1" customWidth="1"/>
    <col min="32" max="33" width="9.21875" bestFit="1" customWidth="1"/>
    <col min="34" max="34" width="18.6640625" bestFit="1" customWidth="1"/>
    <col min="35" max="35" width="13.88671875" bestFit="1" customWidth="1"/>
    <col min="36" max="36" width="16.109375" bestFit="1" customWidth="1"/>
    <col min="37" max="37" width="12.6640625" bestFit="1" customWidth="1"/>
    <col min="38" max="38" width="17.33203125" bestFit="1" customWidth="1"/>
    <col min="39" max="39" width="18.109375" bestFit="1" customWidth="1"/>
  </cols>
  <sheetData>
    <row r="1" spans="1:39" x14ac:dyDescent="0.3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  <c r="I1" s="1" t="s">
        <v>136</v>
      </c>
      <c r="J1" s="1" t="s">
        <v>137</v>
      </c>
      <c r="K1" s="1" t="s">
        <v>138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146</v>
      </c>
      <c r="T1" s="1" t="s">
        <v>147</v>
      </c>
      <c r="U1" s="1" t="s">
        <v>148</v>
      </c>
      <c r="V1" s="1" t="s">
        <v>149</v>
      </c>
      <c r="W1" s="1" t="s">
        <v>150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155</v>
      </c>
      <c r="AC1" s="1" t="s">
        <v>156</v>
      </c>
      <c r="AD1" s="1" t="s">
        <v>157</v>
      </c>
      <c r="AE1" s="1" t="s">
        <v>158</v>
      </c>
      <c r="AF1" s="1" t="s">
        <v>159</v>
      </c>
      <c r="AG1" s="1" t="s">
        <v>160</v>
      </c>
      <c r="AH1" s="1" t="s">
        <v>19</v>
      </c>
      <c r="AI1" s="1" t="s">
        <v>20</v>
      </c>
      <c r="AJ1" s="1" t="s">
        <v>21</v>
      </c>
      <c r="AK1" s="1" t="s">
        <v>22</v>
      </c>
      <c r="AL1" s="1" t="s">
        <v>24</v>
      </c>
      <c r="AM1" s="1" t="s">
        <v>161</v>
      </c>
    </row>
    <row r="2" spans="1:39" x14ac:dyDescent="0.3">
      <c r="A2" t="s">
        <v>162</v>
      </c>
      <c r="B2">
        <v>0</v>
      </c>
      <c r="C2">
        <v>0</v>
      </c>
      <c r="D2">
        <v>1.25E-3</v>
      </c>
      <c r="E2">
        <v>1.2500000000000001E-2</v>
      </c>
      <c r="F2">
        <v>3.7499999999999999E-3</v>
      </c>
      <c r="G2">
        <v>2.2234056192470181E-2</v>
      </c>
      <c r="H2">
        <v>8.3333333333333332E-3</v>
      </c>
      <c r="I2">
        <v>3.3501260508640412E-2</v>
      </c>
      <c r="J2">
        <v>0.52249999999999996</v>
      </c>
      <c r="K2">
        <v>0.51378377303307154</v>
      </c>
      <c r="L2">
        <v>92.403750000000002</v>
      </c>
      <c r="M2">
        <v>3.4488490848137179</v>
      </c>
      <c r="N2">
        <v>6.8825000000000003</v>
      </c>
      <c r="O2">
        <v>3.19045853654309</v>
      </c>
      <c r="P2">
        <v>0.1779166666666667</v>
      </c>
      <c r="Q2">
        <v>0.53032529113931359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64.33771521694355</v>
      </c>
      <c r="Y2">
        <v>85.051240516411156</v>
      </c>
      <c r="Z2">
        <v>1.3822672730209711</v>
      </c>
      <c r="AA2">
        <v>6.3374772757998812E-2</v>
      </c>
      <c r="AB2">
        <v>3.1299547037694988</v>
      </c>
      <c r="AC2">
        <v>9.6566252816718989E-2</v>
      </c>
      <c r="AD2">
        <v>4.5122219767904701</v>
      </c>
      <c r="AE2">
        <v>9.5703630786543314E-2</v>
      </c>
      <c r="AF2" t="s">
        <v>163</v>
      </c>
      <c r="AG2">
        <v>100</v>
      </c>
      <c r="AH2" t="s">
        <v>27</v>
      </c>
      <c r="AI2">
        <v>1024</v>
      </c>
      <c r="AJ2">
        <v>1024</v>
      </c>
      <c r="AK2">
        <v>2400</v>
      </c>
      <c r="AL2" t="s">
        <v>164</v>
      </c>
      <c r="AM2" s="2">
        <v>44624</v>
      </c>
    </row>
    <row r="3" spans="1:39" x14ac:dyDescent="0.3">
      <c r="A3" t="s">
        <v>165</v>
      </c>
      <c r="B3">
        <v>0</v>
      </c>
      <c r="C3">
        <v>0</v>
      </c>
      <c r="D3">
        <v>0</v>
      </c>
      <c r="E3">
        <v>0</v>
      </c>
      <c r="F3">
        <v>7.9166666666666673E-3</v>
      </c>
      <c r="G3">
        <v>4.0899931946411602E-2</v>
      </c>
      <c r="H3">
        <v>1.5416666666666671E-2</v>
      </c>
      <c r="I3">
        <v>5.9710475706452958E-2</v>
      </c>
      <c r="J3">
        <v>0.59333333333333338</v>
      </c>
      <c r="K3">
        <v>0.57357518781048178</v>
      </c>
      <c r="L3">
        <v>42.111249999999998</v>
      </c>
      <c r="M3">
        <v>3.856835139563402</v>
      </c>
      <c r="N3">
        <v>16.205833333333331</v>
      </c>
      <c r="O3">
        <v>3.1870953012162651</v>
      </c>
      <c r="P3">
        <v>27.834166666666668</v>
      </c>
      <c r="Q3">
        <v>3.3464020957637448</v>
      </c>
      <c r="R3">
        <v>10.09333333333333</v>
      </c>
      <c r="S3">
        <v>3.8136577835767711</v>
      </c>
      <c r="T3">
        <v>2.6512500000000001</v>
      </c>
      <c r="U3">
        <v>2.2310718281860069</v>
      </c>
      <c r="V3">
        <v>0.48749999999999999</v>
      </c>
      <c r="W3">
        <v>0.99323433793647953</v>
      </c>
      <c r="X3">
        <v>-1738.7225997915409</v>
      </c>
      <c r="Y3">
        <v>1244.7014834419961</v>
      </c>
      <c r="Z3">
        <v>1.898924931021255</v>
      </c>
      <c r="AA3">
        <v>0.1035359975274726</v>
      </c>
      <c r="AB3">
        <v>28.74154979643999</v>
      </c>
      <c r="AC3">
        <v>0.2653691247654334</v>
      </c>
      <c r="AD3">
        <v>30.640474727461239</v>
      </c>
      <c r="AE3">
        <v>0.2659534484271201</v>
      </c>
      <c r="AF3" t="s">
        <v>26</v>
      </c>
      <c r="AG3">
        <v>100</v>
      </c>
      <c r="AH3" t="s">
        <v>27</v>
      </c>
      <c r="AI3">
        <v>1024</v>
      </c>
      <c r="AJ3">
        <v>1024</v>
      </c>
      <c r="AK3">
        <v>2400</v>
      </c>
      <c r="AL3" t="s">
        <v>164</v>
      </c>
      <c r="AM3" s="2">
        <v>44624</v>
      </c>
    </row>
    <row r="4" spans="1:39" x14ac:dyDescent="0.3">
      <c r="A4" t="s">
        <v>166</v>
      </c>
      <c r="B4">
        <v>0.56541666666666668</v>
      </c>
      <c r="C4">
        <v>0.63677887736986216</v>
      </c>
      <c r="D4">
        <v>1.257916666666667</v>
      </c>
      <c r="E4">
        <v>0.7428270676739881</v>
      </c>
      <c r="F4">
        <v>3.1645833333333329</v>
      </c>
      <c r="G4">
        <v>1.121125561143625</v>
      </c>
      <c r="H4">
        <v>5.0779166666666669</v>
      </c>
      <c r="I4">
        <v>1.368687107467645</v>
      </c>
      <c r="J4">
        <v>11.81833333333333</v>
      </c>
      <c r="K4">
        <v>1.7024413875050179</v>
      </c>
      <c r="L4">
        <v>48.106666666666669</v>
      </c>
      <c r="M4">
        <v>4.9701702780279664</v>
      </c>
      <c r="N4">
        <v>16.309583333333329</v>
      </c>
      <c r="O4">
        <v>3.4627509967492922</v>
      </c>
      <c r="P4">
        <v>12.952083333333331</v>
      </c>
      <c r="Q4">
        <v>3.4314442628777768</v>
      </c>
      <c r="R4">
        <v>0.66375000000000006</v>
      </c>
      <c r="S4">
        <v>1.0156818759434909</v>
      </c>
      <c r="T4">
        <v>8.3749999999999991E-2</v>
      </c>
      <c r="U4">
        <v>0.35367712254907058</v>
      </c>
      <c r="V4">
        <v>0</v>
      </c>
      <c r="W4">
        <v>0</v>
      </c>
      <c r="X4">
        <v>-488.1405968588964</v>
      </c>
      <c r="Y4">
        <v>748.9489856221021</v>
      </c>
      <c r="Z4">
        <v>15.25240183265327</v>
      </c>
      <c r="AA4">
        <v>0.40499834628890702</v>
      </c>
      <c r="AB4">
        <v>13.8548911427054</v>
      </c>
      <c r="AC4">
        <v>0.2707366611568558</v>
      </c>
      <c r="AD4">
        <v>29.107292975358671</v>
      </c>
      <c r="AE4">
        <v>0.34683676491372539</v>
      </c>
      <c r="AF4" t="s">
        <v>163</v>
      </c>
      <c r="AG4">
        <v>100</v>
      </c>
      <c r="AH4" t="s">
        <v>27</v>
      </c>
      <c r="AI4">
        <v>1024</v>
      </c>
      <c r="AJ4">
        <v>1024</v>
      </c>
      <c r="AK4">
        <v>2400</v>
      </c>
      <c r="AL4" t="s">
        <v>164</v>
      </c>
      <c r="AM4" s="2">
        <v>44624</v>
      </c>
    </row>
    <row r="5" spans="1:39" x14ac:dyDescent="0.3">
      <c r="A5" t="s">
        <v>167</v>
      </c>
      <c r="B5">
        <v>3.333333333333334E-3</v>
      </c>
      <c r="C5">
        <v>2.345088235604828E-2</v>
      </c>
      <c r="D5">
        <v>5.5833333333333339E-2</v>
      </c>
      <c r="E5">
        <v>0.12496071211990149</v>
      </c>
      <c r="F5">
        <v>0.3175</v>
      </c>
      <c r="G5">
        <v>0.33672412584310552</v>
      </c>
      <c r="H5">
        <v>1.1708333333333329</v>
      </c>
      <c r="I5">
        <v>0.71008893153225816</v>
      </c>
      <c r="J5">
        <v>7.3512500000000003</v>
      </c>
      <c r="K5">
        <v>1.701882323829665</v>
      </c>
      <c r="L5">
        <v>50.575833333333343</v>
      </c>
      <c r="M5">
        <v>5.0034653395462234</v>
      </c>
      <c r="N5">
        <v>19.689583333333331</v>
      </c>
      <c r="O5">
        <v>3.6466172798331891</v>
      </c>
      <c r="P5">
        <v>18.977499999999999</v>
      </c>
      <c r="Q5">
        <v>4.0653266303794444</v>
      </c>
      <c r="R5">
        <v>1.657083333333333</v>
      </c>
      <c r="S5">
        <v>1.620822081097933</v>
      </c>
      <c r="T5">
        <v>0.17249999999999999</v>
      </c>
      <c r="U5">
        <v>0.52874114628571622</v>
      </c>
      <c r="V5">
        <v>2.8750000000000001E-2</v>
      </c>
      <c r="W5">
        <v>0.20994285671682131</v>
      </c>
      <c r="X5">
        <v>-470.26068043750757</v>
      </c>
      <c r="Y5">
        <v>656.25328328284456</v>
      </c>
      <c r="Z5">
        <v>6.3314511842593992</v>
      </c>
      <c r="AA5">
        <v>0.20264358239941349</v>
      </c>
      <c r="AB5">
        <v>16.707672565481509</v>
      </c>
      <c r="AC5">
        <v>0.26737046214699067</v>
      </c>
      <c r="AD5">
        <v>23.039123749740909</v>
      </c>
      <c r="AE5">
        <v>0.2544457043713475</v>
      </c>
      <c r="AF5" t="s">
        <v>26</v>
      </c>
      <c r="AG5">
        <v>100</v>
      </c>
      <c r="AH5" t="s">
        <v>27</v>
      </c>
      <c r="AI5">
        <v>1024</v>
      </c>
      <c r="AJ5">
        <v>1024</v>
      </c>
      <c r="AK5">
        <v>2400</v>
      </c>
      <c r="AL5" t="s">
        <v>164</v>
      </c>
      <c r="AM5" s="2">
        <v>44624</v>
      </c>
    </row>
    <row r="6" spans="1:39" x14ac:dyDescent="0.3">
      <c r="A6" t="s">
        <v>168</v>
      </c>
      <c r="B6">
        <v>1.666666666666667E-3</v>
      </c>
      <c r="C6">
        <v>1.31361684885252E-2</v>
      </c>
      <c r="D6">
        <v>3.7499999999999999E-3</v>
      </c>
      <c r="E6">
        <v>2.2234056192470181E-2</v>
      </c>
      <c r="F6">
        <v>2.75E-2</v>
      </c>
      <c r="G6">
        <v>6.9626025230872232E-2</v>
      </c>
      <c r="H6">
        <v>0.1879166666666667</v>
      </c>
      <c r="I6">
        <v>0.23781286616870831</v>
      </c>
      <c r="J6">
        <v>4.2387499999999996</v>
      </c>
      <c r="K6">
        <v>1.185097546146846</v>
      </c>
      <c r="L6">
        <v>53.173749999999998</v>
      </c>
      <c r="M6">
        <v>3.8945623072915381</v>
      </c>
      <c r="N6">
        <v>14.973333333333329</v>
      </c>
      <c r="O6">
        <v>2.2087781459140632</v>
      </c>
      <c r="P6">
        <v>19.895416666666669</v>
      </c>
      <c r="Q6">
        <v>2.3484097990886661</v>
      </c>
      <c r="R6">
        <v>5.440833333333333</v>
      </c>
      <c r="S6">
        <v>1.90672450672788</v>
      </c>
      <c r="T6">
        <v>1.624583333333333</v>
      </c>
      <c r="U6">
        <v>1.337843474153676</v>
      </c>
      <c r="V6">
        <v>0.4325</v>
      </c>
      <c r="W6">
        <v>0.76874672081459139</v>
      </c>
      <c r="X6">
        <v>-1077.6216327742079</v>
      </c>
      <c r="Y6">
        <v>1361.6162612693149</v>
      </c>
      <c r="Z6">
        <v>3.7065333871467971</v>
      </c>
      <c r="AA6">
        <v>0.12794218657373579</v>
      </c>
      <c r="AB6">
        <v>22.654418833512011</v>
      </c>
      <c r="AC6">
        <v>0.26882927044487359</v>
      </c>
      <c r="AD6">
        <v>26.36095222065881</v>
      </c>
      <c r="AE6">
        <v>0.26391864989744568</v>
      </c>
      <c r="AF6" t="s">
        <v>163</v>
      </c>
      <c r="AG6">
        <v>100</v>
      </c>
      <c r="AH6" t="s">
        <v>27</v>
      </c>
      <c r="AI6">
        <v>1024</v>
      </c>
      <c r="AJ6">
        <v>1024</v>
      </c>
      <c r="AK6">
        <v>2400</v>
      </c>
      <c r="AL6" t="s">
        <v>164</v>
      </c>
      <c r="AM6" s="2">
        <v>44624</v>
      </c>
    </row>
    <row r="7" spans="1:39" x14ac:dyDescent="0.3">
      <c r="A7" t="s">
        <v>169</v>
      </c>
      <c r="B7">
        <v>0</v>
      </c>
      <c r="C7">
        <v>0</v>
      </c>
      <c r="D7">
        <v>0</v>
      </c>
      <c r="E7">
        <v>0</v>
      </c>
      <c r="F7">
        <v>6.6666666666666671E-3</v>
      </c>
      <c r="G7">
        <v>3.0034585376578549E-2</v>
      </c>
      <c r="H7">
        <v>1.5416666666666671E-2</v>
      </c>
      <c r="I7">
        <v>4.9070699013601823E-2</v>
      </c>
      <c r="J7">
        <v>0.27</v>
      </c>
      <c r="K7">
        <v>0.31502097626700282</v>
      </c>
      <c r="L7">
        <v>65.965833333333336</v>
      </c>
      <c r="M7">
        <v>3.111558522121689</v>
      </c>
      <c r="N7">
        <v>14.224166666666671</v>
      </c>
      <c r="O7">
        <v>2.3287125060914962</v>
      </c>
      <c r="P7">
        <v>16.681249999999999</v>
      </c>
      <c r="Q7">
        <v>3.178905856625232</v>
      </c>
      <c r="R7">
        <v>2.335</v>
      </c>
      <c r="S7">
        <v>1.7741629916632951</v>
      </c>
      <c r="T7">
        <v>0.46</v>
      </c>
      <c r="U7">
        <v>0.82433951386486837</v>
      </c>
      <c r="V7">
        <v>4.1666666666666657E-2</v>
      </c>
      <c r="W7">
        <v>0.16938026603771719</v>
      </c>
      <c r="X7">
        <v>-437.65540519269069</v>
      </c>
      <c r="Y7">
        <v>707.4464809538332</v>
      </c>
      <c r="Z7">
        <v>1.219864604284197</v>
      </c>
      <c r="AA7">
        <v>6.2949513482225092E-2</v>
      </c>
      <c r="AB7">
        <v>15.866594525086899</v>
      </c>
      <c r="AC7">
        <v>0.30368313933118701</v>
      </c>
      <c r="AD7">
        <v>17.0864591293711</v>
      </c>
      <c r="AE7">
        <v>0.30133124292766922</v>
      </c>
      <c r="AF7" t="s">
        <v>163</v>
      </c>
      <c r="AG7">
        <v>100</v>
      </c>
      <c r="AH7" t="s">
        <v>27</v>
      </c>
      <c r="AI7">
        <v>1024</v>
      </c>
      <c r="AJ7">
        <v>1024</v>
      </c>
      <c r="AK7">
        <v>2400</v>
      </c>
      <c r="AL7" t="s">
        <v>164</v>
      </c>
      <c r="AM7" s="2">
        <v>44624</v>
      </c>
    </row>
    <row r="8" spans="1:39" x14ac:dyDescent="0.3">
      <c r="A8" t="s">
        <v>170</v>
      </c>
      <c r="B8">
        <v>0</v>
      </c>
      <c r="C8">
        <v>0</v>
      </c>
      <c r="D8">
        <v>0</v>
      </c>
      <c r="E8">
        <v>0</v>
      </c>
      <c r="F8">
        <v>2.9166666666666668E-3</v>
      </c>
      <c r="G8">
        <v>2.073207716484346E-2</v>
      </c>
      <c r="H8">
        <v>1.4999999999999999E-2</v>
      </c>
      <c r="I8">
        <v>5.7576865132001873E-2</v>
      </c>
      <c r="J8">
        <v>0.64916666666666667</v>
      </c>
      <c r="K8">
        <v>0.55007332946526422</v>
      </c>
      <c r="L8">
        <v>51.791666666666657</v>
      </c>
      <c r="M8">
        <v>3.8762284899625441</v>
      </c>
      <c r="N8">
        <v>12.86458333333333</v>
      </c>
      <c r="O8">
        <v>2.5291120285424431</v>
      </c>
      <c r="P8">
        <v>15.77375</v>
      </c>
      <c r="Q8">
        <v>2.216281951565001</v>
      </c>
      <c r="R8">
        <v>8.8674999999999997</v>
      </c>
      <c r="S8">
        <v>2.448647528619909</v>
      </c>
      <c r="T8">
        <v>5.3695833333333329</v>
      </c>
      <c r="U8">
        <v>2.2818672869155638</v>
      </c>
      <c r="V8">
        <v>4.6658333333333326</v>
      </c>
      <c r="W8">
        <v>3.0083706406185349</v>
      </c>
      <c r="X8">
        <v>-2503.3065818045502</v>
      </c>
      <c r="Y8">
        <v>2365.3679483074789</v>
      </c>
      <c r="Z8">
        <v>1.6786173598266141</v>
      </c>
      <c r="AA8">
        <v>7.1204993201986783E-2</v>
      </c>
      <c r="AB8">
        <v>33.285668444308968</v>
      </c>
      <c r="AC8">
        <v>0.28581189189122669</v>
      </c>
      <c r="AD8">
        <v>34.964285804135578</v>
      </c>
      <c r="AE8">
        <v>0.28469995334629877</v>
      </c>
      <c r="AF8" t="s">
        <v>163</v>
      </c>
      <c r="AG8">
        <v>100</v>
      </c>
      <c r="AH8" t="s">
        <v>27</v>
      </c>
      <c r="AI8">
        <v>1024</v>
      </c>
      <c r="AJ8">
        <v>1024</v>
      </c>
      <c r="AK8">
        <v>2400</v>
      </c>
      <c r="AL8" t="s">
        <v>164</v>
      </c>
      <c r="AM8" s="2">
        <v>44624</v>
      </c>
    </row>
    <row r="9" spans="1:39" x14ac:dyDescent="0.3">
      <c r="A9" t="s">
        <v>171</v>
      </c>
      <c r="B9">
        <v>0</v>
      </c>
      <c r="C9">
        <v>0</v>
      </c>
      <c r="D9">
        <v>2.9166666666666668E-3</v>
      </c>
      <c r="E9">
        <v>1.8965049962754821E-2</v>
      </c>
      <c r="F9">
        <v>1.8749999999999999E-2</v>
      </c>
      <c r="G9">
        <v>7.041618103950649E-2</v>
      </c>
      <c r="H9">
        <v>0.1158333333333333</v>
      </c>
      <c r="I9">
        <v>0.17057496681562809</v>
      </c>
      <c r="J9">
        <v>3.8491666666666671</v>
      </c>
      <c r="K9">
        <v>1.344932971180979</v>
      </c>
      <c r="L9">
        <v>50.971249999999998</v>
      </c>
      <c r="M9">
        <v>3.7460449354659029</v>
      </c>
      <c r="N9">
        <v>14.52916666666667</v>
      </c>
      <c r="O9">
        <v>2.8802104738607861</v>
      </c>
      <c r="P9">
        <v>21.842500000000001</v>
      </c>
      <c r="Q9">
        <v>2.9982492319335501</v>
      </c>
      <c r="R9">
        <v>6.3174999999999999</v>
      </c>
      <c r="S9">
        <v>2.586710212804685</v>
      </c>
      <c r="T9">
        <v>1.8825000000000001</v>
      </c>
      <c r="U9">
        <v>1.3760948605003209</v>
      </c>
      <c r="V9">
        <v>0.47041666666666659</v>
      </c>
      <c r="W9">
        <v>0.87947379223861355</v>
      </c>
      <c r="X9">
        <v>-1339.808763976243</v>
      </c>
      <c r="Y9">
        <v>1363.6892207238641</v>
      </c>
      <c r="Z9">
        <v>3.4378669123576699</v>
      </c>
      <c r="AA9">
        <v>9.592172523185967E-2</v>
      </c>
      <c r="AB9">
        <v>25.552462728431401</v>
      </c>
      <c r="AC9">
        <v>0.27061285032774718</v>
      </c>
      <c r="AD9">
        <v>28.990329640789071</v>
      </c>
      <c r="AE9">
        <v>0.26497177532304389</v>
      </c>
      <c r="AF9" t="s">
        <v>172</v>
      </c>
      <c r="AG9">
        <v>100</v>
      </c>
      <c r="AH9" t="s">
        <v>27</v>
      </c>
      <c r="AI9">
        <v>1024</v>
      </c>
      <c r="AJ9">
        <v>1024</v>
      </c>
      <c r="AK9">
        <v>2400</v>
      </c>
      <c r="AL9" t="s">
        <v>164</v>
      </c>
      <c r="AM9" s="2">
        <v>44624</v>
      </c>
    </row>
    <row r="10" spans="1:39" x14ac:dyDescent="0.3">
      <c r="A10" t="s">
        <v>173</v>
      </c>
      <c r="B10">
        <v>2.0833333333333329E-3</v>
      </c>
      <c r="C10">
        <v>2.0833333333333339E-2</v>
      </c>
      <c r="D10">
        <v>1.458333333333333E-2</v>
      </c>
      <c r="E10">
        <v>5.567380092995966E-2</v>
      </c>
      <c r="F10">
        <v>0.1091666666666667</v>
      </c>
      <c r="G10">
        <v>0.21725670758838189</v>
      </c>
      <c r="H10">
        <v>0.57291666666666663</v>
      </c>
      <c r="I10">
        <v>0.49180913732189929</v>
      </c>
      <c r="J10">
        <v>7.8641666666666667</v>
      </c>
      <c r="K10">
        <v>1.8995042991505919</v>
      </c>
      <c r="L10">
        <v>64.677916666666661</v>
      </c>
      <c r="M10">
        <v>4.0464555396127677</v>
      </c>
      <c r="N10">
        <v>15.037916666666669</v>
      </c>
      <c r="O10">
        <v>2.6294828044738319</v>
      </c>
      <c r="P10">
        <v>10.881666666666669</v>
      </c>
      <c r="Q10">
        <v>3.2751590292177668</v>
      </c>
      <c r="R10">
        <v>0.76291666666666669</v>
      </c>
      <c r="S10">
        <v>0.99267263225397639</v>
      </c>
      <c r="T10">
        <v>7.6666666666666675E-2</v>
      </c>
      <c r="U10">
        <v>0.32246159690958781</v>
      </c>
      <c r="V10">
        <v>0</v>
      </c>
      <c r="W10">
        <v>0</v>
      </c>
      <c r="X10">
        <v>-417.8427085208773</v>
      </c>
      <c r="Y10">
        <v>728.57381400557063</v>
      </c>
      <c r="Z10">
        <v>4.5618048438974093</v>
      </c>
      <c r="AA10">
        <v>0.14576973379078009</v>
      </c>
      <c r="AB10">
        <v>12.564441993392711</v>
      </c>
      <c r="AC10">
        <v>0.28235104640079639</v>
      </c>
      <c r="AD10">
        <v>17.126246837290122</v>
      </c>
      <c r="AE10">
        <v>0.26490660393238719</v>
      </c>
      <c r="AF10" t="s">
        <v>163</v>
      </c>
      <c r="AG10">
        <v>100</v>
      </c>
      <c r="AH10" t="s">
        <v>27</v>
      </c>
      <c r="AI10">
        <v>1024</v>
      </c>
      <c r="AJ10">
        <v>1024</v>
      </c>
      <c r="AK10">
        <v>2400</v>
      </c>
      <c r="AL10" t="s">
        <v>164</v>
      </c>
      <c r="AM10" s="2">
        <v>44624</v>
      </c>
    </row>
    <row r="11" spans="1:39" x14ac:dyDescent="0.3">
      <c r="A11" t="s">
        <v>174</v>
      </c>
      <c r="B11">
        <v>0.42166666666666669</v>
      </c>
      <c r="C11">
        <v>0.45536920307714168</v>
      </c>
      <c r="D11">
        <v>1.332916666666667</v>
      </c>
      <c r="E11">
        <v>0.80360472157707308</v>
      </c>
      <c r="F11">
        <v>3.217083333333334</v>
      </c>
      <c r="G11">
        <v>1.165197111377037</v>
      </c>
      <c r="H11">
        <v>4.5016666666666669</v>
      </c>
      <c r="I11">
        <v>1.128989993881732</v>
      </c>
      <c r="J11">
        <v>10.133333333333329</v>
      </c>
      <c r="K11">
        <v>1.717736092637812</v>
      </c>
      <c r="L11">
        <v>44.8</v>
      </c>
      <c r="M11">
        <v>4.6190299534033894</v>
      </c>
      <c r="N11">
        <v>17.068750000000001</v>
      </c>
      <c r="O11">
        <v>2.982761070097752</v>
      </c>
      <c r="P11">
        <v>16.018750000000001</v>
      </c>
      <c r="Q11">
        <v>3.3043477495906011</v>
      </c>
      <c r="R11">
        <v>2.1724999999999999</v>
      </c>
      <c r="S11">
        <v>1.6779711324132249</v>
      </c>
      <c r="T11">
        <v>0.27333333333333332</v>
      </c>
      <c r="U11">
        <v>0.61629231516617533</v>
      </c>
      <c r="V11">
        <v>0.06</v>
      </c>
      <c r="W11">
        <v>0.31227236377991552</v>
      </c>
      <c r="X11">
        <v>-939.34977810154783</v>
      </c>
      <c r="Y11">
        <v>1142.648186177079</v>
      </c>
      <c r="Z11">
        <v>15.917178750364091</v>
      </c>
      <c r="AA11">
        <v>0.36912961461518601</v>
      </c>
      <c r="AB11">
        <v>17.078205969363179</v>
      </c>
      <c r="AC11">
        <v>0.29031380433075349</v>
      </c>
      <c r="AD11">
        <v>32.995384719727269</v>
      </c>
      <c r="AE11">
        <v>0.33393009792253348</v>
      </c>
      <c r="AF11" t="s">
        <v>26</v>
      </c>
      <c r="AG11">
        <v>100</v>
      </c>
      <c r="AH11" t="s">
        <v>27</v>
      </c>
      <c r="AI11">
        <v>1024</v>
      </c>
      <c r="AJ11">
        <v>1024</v>
      </c>
      <c r="AK11">
        <v>2400</v>
      </c>
      <c r="AL11" t="s">
        <v>164</v>
      </c>
      <c r="AM11" s="2">
        <v>44624</v>
      </c>
    </row>
    <row r="12" spans="1:39" x14ac:dyDescent="0.3">
      <c r="B12">
        <f>AVERAGE(B2:B11)</f>
        <v>9.9416666666666667E-2</v>
      </c>
      <c r="C12">
        <f>AVERAGE(C2:C11)/SQRT(10)</f>
        <v>3.6352546745174186E-2</v>
      </c>
      <c r="D12">
        <f>AVERAGE(D2:D11)</f>
        <v>0.26691666666666675</v>
      </c>
      <c r="E12">
        <f>AVERAGE(E2:E11)/SQRT(10)</f>
        <v>5.6312746691614929E-2</v>
      </c>
      <c r="F12">
        <f>AVERAGE(F2:F11)</f>
        <v>0.68758333333333332</v>
      </c>
      <c r="G12">
        <f>AVERAGE(G2:G11)/SQRT(10)</f>
        <v>9.7848661484648838E-2</v>
      </c>
      <c r="H12">
        <f>AVERAGE(H2:H11)</f>
        <v>1.1681249999999999</v>
      </c>
      <c r="I12">
        <f>AVERAGE(I2:I11)/SQRT(10)</f>
        <v>0.13622530234486721</v>
      </c>
      <c r="J12">
        <f>AVERAGE(J2:J11)</f>
        <v>4.7289999999999992</v>
      </c>
      <c r="K12">
        <f>AVERAGE(K2:K11)/SQRT(10)</f>
        <v>0.36378993634651885</v>
      </c>
      <c r="L12">
        <f>AVERAGE(L2:L11)</f>
        <v>56.457791666666665</v>
      </c>
      <c r="M12">
        <f>AVERAGE(M2:M11)/SQRT(10)</f>
        <v>1.2830372266440628</v>
      </c>
      <c r="N12">
        <f>AVERAGE(N2:N11)</f>
        <v>14.778541666666666</v>
      </c>
      <c r="O12">
        <f>AVERAGE(O2:O11)/SQRT(10)</f>
        <v>0.91851450962644487</v>
      </c>
      <c r="P12">
        <f>AVERAGE(P2:P11)</f>
        <v>16.103500000000004</v>
      </c>
      <c r="Q12">
        <f>AVERAGE(Q2:Q11)/SQRT(10)</f>
        <v>0.90741089119458296</v>
      </c>
      <c r="R12">
        <f>AVERAGE(R2:R11)</f>
        <v>3.8310416666666667</v>
      </c>
      <c r="S12">
        <f>AVERAGE(S2:S11)/SQRT(10)</f>
        <v>0.56405707094523172</v>
      </c>
      <c r="T12">
        <f>AVERAGE(T2:T11)</f>
        <v>1.2594166666666666</v>
      </c>
      <c r="U12">
        <f>AVERAGE(U2:U11)/SQRT(10)</f>
        <v>0.31219235644239152</v>
      </c>
      <c r="V12">
        <f>AVERAGE(V2:V11)</f>
        <v>0.61866666666666659</v>
      </c>
      <c r="W12">
        <f>AVERAGE(W2:W11)/SQRT(10)</f>
        <v>0.20053333892903688</v>
      </c>
    </row>
    <row r="13" spans="1:39" x14ac:dyDescent="0.3">
      <c r="H13">
        <f>SUM(B12,D12,F12,H12)</f>
        <v>2.2220416666666667</v>
      </c>
      <c r="I13">
        <f>SUM(C12,E12,G12,I12)</f>
        <v>0.32673925726630515</v>
      </c>
      <c r="P13">
        <f>SUM(V12,T12,R12,P12)</f>
        <v>21.812625000000004</v>
      </c>
      <c r="Q13">
        <f>SUM(W12,U12,S12,Q12)</f>
        <v>1.9841936575112431</v>
      </c>
    </row>
    <row r="16" spans="1:39" x14ac:dyDescent="0.3">
      <c r="L16">
        <f>SUM(H13,J12,L12,N12,P13)</f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adolescent#010</vt:lpstr>
      <vt:lpstr>risultati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Sasso Daniele</cp:lastModifiedBy>
  <dcterms:created xsi:type="dcterms:W3CDTF">2024-12-31T03:07:24Z</dcterms:created>
  <dcterms:modified xsi:type="dcterms:W3CDTF">2025-01-13T12:21:30Z</dcterms:modified>
</cp:coreProperties>
</file>