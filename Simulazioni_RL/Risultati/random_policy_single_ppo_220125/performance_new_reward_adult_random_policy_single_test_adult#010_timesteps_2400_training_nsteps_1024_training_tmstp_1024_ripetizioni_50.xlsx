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random_policy_single_ppo_220125\"/>
    </mc:Choice>
  </mc:AlternateContent>
  <xr:revisionPtr revIDLastSave="0" documentId="13_ncr:1_{0A437328-71B4-4C07-BE19-39D0580713B2}" xr6:coauthVersionLast="47" xr6:coauthVersionMax="47" xr10:uidLastSave="{00000000-0000-0000-0000-000000000000}"/>
  <bookViews>
    <workbookView xWindow="15264" yWindow="0" windowWidth="15552" windowHeight="16656" activeTab="1" xr2:uid="{00000000-000D-0000-FFFF-FFFF00000000}"/>
  </bookViews>
  <sheets>
    <sheet name="adult#010" sheetId="1" r:id="rId1"/>
    <sheet name="risultat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2" l="1"/>
  <c r="P13" i="2"/>
  <c r="I13" i="2"/>
  <c r="H13" i="2"/>
  <c r="W12" i="2"/>
  <c r="Q13" i="2" s="1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</calcChain>
</file>

<file path=xl/sharedStrings.xml><?xml version="1.0" encoding="utf-8"?>
<sst xmlns="http://schemas.openxmlformats.org/spreadsheetml/2006/main" count="255" uniqueCount="123">
  <si>
    <t>death hypo</t>
  </si>
  <si>
    <t>ultra hypo</t>
  </si>
  <si>
    <t>heavy hypo</t>
  </si>
  <si>
    <t>severe hypo</t>
  </si>
  <si>
    <t>hypo</t>
  </si>
  <si>
    <t>time in range</t>
  </si>
  <si>
    <t>hyper</t>
  </si>
  <si>
    <t>severe hyper</t>
  </si>
  <si>
    <t>heavy hyper</t>
  </si>
  <si>
    <t>ultra hyper</t>
  </si>
  <si>
    <t>death hyper</t>
  </si>
  <si>
    <t>reward</t>
  </si>
  <si>
    <t>LBGI mean</t>
  </si>
  <si>
    <t>LBGI std</t>
  </si>
  <si>
    <t>HBGI mean</t>
  </si>
  <si>
    <t>HBGI std</t>
  </si>
  <si>
    <t>RI mean</t>
  </si>
  <si>
    <t>RI std</t>
  </si>
  <si>
    <t>cap</t>
  </si>
  <si>
    <t>training learning rate</t>
  </si>
  <si>
    <t>training n steps</t>
  </si>
  <si>
    <t>training timesteps</t>
  </si>
  <si>
    <t>test timesteps</t>
  </si>
  <si>
    <t>ripetizione</t>
  </si>
  <si>
    <t>scenario</t>
  </si>
  <si>
    <t>tempo esecuzione</t>
  </si>
  <si>
    <t>0.14</t>
  </si>
  <si>
    <t>00003</t>
  </si>
  <si>
    <t>[(9, 30), (13, 80), (17, 13), (20, 78), (36, 96), (45, 91), (54, 27), (60, 109), (64, 16), (71, 89), (84, 144), (93, 79), (102, 42), (109, 59), (118, 105)]</t>
  </si>
  <si>
    <t>[(6, 37), (12, 147), (19, 93), (37, 105), (44, 53), (61, 90), (69, 80), (85, 75), (93, 115), (105, 43), (108, 112), (116, 74)]</t>
  </si>
  <si>
    <t>[(6, 35), (13, 140), (19, 100), (36, 113), (40, 9), (45, 89), (61, 125), (70, 73), (84, 113), (93, 103), (105, 44), (108, 110), (113, 10), (116, 90)]</t>
  </si>
  <si>
    <t>[(9, 40), (12, 95), (17, 10), (19, 77), (37, 100), (46, 47), (54, 37), (61, 104), (63, 8), (68, 77), (84, 138), (93, 83), (108, 68), (112, 12), (117, 100)]</t>
  </si>
  <si>
    <t>[(12, 82), (22, 106), (32, 36), (38, 147), (45, 47), (60, 113), (69, 91), (85, 124), (94, 69), (102, 39), (108, 94), (117, 73)]</t>
  </si>
  <si>
    <t>[(10, 36), (12, 82), (18, 6), (23, 90), (36, 98), (41, 11), (43, 70), (57, 40), (61, 98), (66, 12), (67, 83), (79, 43), (84, 112), (92, 80), (104, 36), (109, 87), (113, 6), (115, 122)]</t>
  </si>
  <si>
    <t>[(7, 34), (13, 110), (21, 105), (36, 67), (44, 77), (60, 92), (65, 12), (69, 83), (73, 13), (80, 30), (85, 107), (92, 102), (105, 27), (107, 83), (112, 12), (115, 79)]</t>
  </si>
  <si>
    <t>[(9, 31), (13, 114), (18, 12), (21, 84), (31, 39), (36, 118), (44, 98), (61, 77), (65, 10), (68, 88), (79, 18), (84, 115), (93, 63), (108, 83), (116, 73)]</t>
  </si>
  <si>
    <t>[(13, 110), (17, 11), (21, 95), (34, 47), (36, 132), (44, 61), (61, 85), (81, 26), (85, 124), (93, 119), (105, 28), (109, 62), (115, 75)]</t>
  </si>
  <si>
    <t>[(7, 25), (12, 105), (16, 12), (22, 72), (37, 80), (42, 10), (43, 81), (55, 24), (61, 137), (67, 14), (68, 80), (78, 25), (85, 154), (93, 86), (105, 34), (109, 126), (115, 123)]</t>
  </si>
  <si>
    <t>[(6, 33), (13, 110), (17, 10), (21, 86), (36, 106), (44, 89), (56, 43), (60, 123), (64, 12), (67, 62), (78, 16), (85, 155), (92, 62), (108, 98), (117, 64)]</t>
  </si>
  <si>
    <t>[(13, 107), (21, 97), (32, 40), (36, 98), (44, 70), (55, 36), (60, 123), (65, 11), (68, 101), (79, 26), (84, 79), (93, 127), (108, 141), (116, 102), (121, 10)]</t>
  </si>
  <si>
    <t>[(7, 38), (12, 154), (18, 63), (36, 90), (45, 114), (54, 46), (60, 96), (68, 85), (77, 43), (84, 114), (88, 9), (93, 74), (109, 109), (117, 55)]</t>
  </si>
  <si>
    <t>[(12, 145), (20, 78), (34, 28), (37, 81), (42, 10), (44, 86), (60, 112), (69, 52), (79, 39), (84, 75), (103, 30), (108, 94), (116, 57)]</t>
  </si>
  <si>
    <t>[(7, 42), (13, 57), (20, 90), (36, 59), (46, 73), (57, 32), (61, 86), (68, 67), (84, 55), (87, 10), (94, 72), (104, 36), (109, 119), (117, 105)]</t>
  </si>
  <si>
    <t>[(13, 99), (21, 100), (23, 14), (32, 41), (36, 135), (41, 10), (44, 72), (52, 34), (60, 105), (64, 16), (67, 103), (80, 43), (84, 49), (89, 15), (94, 92), (108, 110), (115, 92)]</t>
  </si>
  <si>
    <t>[(6, 41), (13, 103), (21, 84), (37, 124), (45, 79), (62, 132), (68, 62), (79, 36), (85, 96), (92, 95), (105, 28), (109, 90), (115, 73)]</t>
  </si>
  <si>
    <t>[(9, 44), (12, 116), (21, 92), (32, 23), (36, 123), (41, 10), (45, 112), (61, 137), (71, 65), (85, 123), (93, 91), (102, 30), (108, 100), (118, 101)]</t>
  </si>
  <si>
    <t>[(6, 32), (12, 153), (17, 9), (21, 72), (36, 124), (45, 102), (61, 94), (65, 10), (67, 65), (78, 45), (83, 123), (92, 86), (100, 40), (108, 108), (116, 94)]</t>
  </si>
  <si>
    <t>[(12, 114), (23, 82), (36, 106), (45, 83), (55, 32), (60, 85), (70, 79), (79, 46), (84, 148), (93, 65), (108, 124), (116, 88)]</t>
  </si>
  <si>
    <t>[(9, 40), (12, 108), (22, 55), (31, 18), (37, 84), (46, 75), (54, 36), (60, 115), (69, 87), (79, 31), (85, 115), (91, 81), (109, 117), (113, 10), (117, 84)]</t>
  </si>
  <si>
    <t>[(12, 130), (20, 96), (32, 36), (37, 82), (40, 14), (45, 89), (61, 98), (69, 72), (79, 34), (85, 88), (93, 65), (103, 54), (109, 141), (113, 14), (117, 86)]</t>
  </si>
  <si>
    <t>[(8, 31), (13, 125), (20, 95), (36, 113), (43, 123), (60, 103), (65, 7), (68, 69), (85, 119), (89, 14), (91, 82), (105, 29), (109, 120), (116, 96)]</t>
  </si>
  <si>
    <t>[(13, 146), (23, 94), (31, 33), (36, 117), (46, 92), (62, 94), (64, 14), (69, 95), (79, 14), (84, 135), (94, 90), (95, 12), (103, 41), (108, 108), (118, 67)]</t>
  </si>
  <si>
    <t>[(12, 101), (24, 49), (34, 32), (37, 108), (47, 80), (59, 108), (67, 12), (68, 89), (84, 100), (89, 4), (91, 78), (103, 44), (108, 111), (117, 95)]</t>
  </si>
  <si>
    <t>[(5, 27), (12, 110), (21, 84), (31, 31), (36, 71), (45, 61), (53, 34), (60, 100), (69, 83), (79, 15), (85, 86), (92, 67), (103, 38), (109, 43), (117, 81)]</t>
  </si>
  <si>
    <t>[(5, 29), (13, 125), (20, 98), (33, 31), (37, 101), (45, 70), (55, 27), (60, 122), (70, 69), (85, 117), (92, 77), (104, 38), (108, 118), (116, 77)]</t>
  </si>
  <si>
    <t>[(12, 129), (21, 74), (37, 105), (40, 12), (46, 76), (54, 31), (60, 100), (66, 11), (69, 75), (84, 59), (89, 10), (94, 80), (109, 109), (114, 61)]</t>
  </si>
  <si>
    <t>[(8, 39), (13, 145), (17, 12), (20, 103), (36, 84), (42, 8), (45, 110), (57, 41), (60, 116), (64, 8), (69, 86), (78, 40), (84, 89), (93, 71), (104, 35), (108, 46), (117, 79)]</t>
  </si>
  <si>
    <t>[(7, 26), (12, 121), (22, 83), (36, 107), (41, 14), (46, 100), (54, 28), (61, 72), (70, 86), (85, 125), (91, 81), (103, 36), (108, 127), (117, 67)]</t>
  </si>
  <si>
    <t>[(13, 97), (19, 101), (36, 122), (45, 63), (56, 39), (60, 80), (64, 9), (68, 74), (84, 130), (93, 64), (103, 36), (109, 91), (111, 13), (116, 97)]</t>
  </si>
  <si>
    <t>[(13, 124), (16, 8), (20, 72), (33, 34), (37, 66), (44, 90), (61, 109), (67, 135), (79, 29), (85, 94), (90, 6), (92, 86), (108, 87), (115, 93)]</t>
  </si>
  <si>
    <t>[(9, 25), (12, 85), (20, 65), (30, 22), (36, 135), (43, 96), (54, 26), (60, 113), (68, 57), (81, 33), (85, 108), (90, 12), (93, 52), (108, 91), (117, 87)]</t>
  </si>
  <si>
    <t>[(13, 102), (18, 11), (21, 87), (38, 112), (45, 56), (56, 23), (61, 76), (66, 14), (84, 120), (92, 51), (103, 27), (109, 103), (112, 11), (116, 87)]</t>
  </si>
  <si>
    <t>[(13, 112), (37, 48), (41, 15), (45, 62), (57, 41), (60, 98), (66, 12), (68, 98), (84, 104), (91, 14), (91, 53), (104, 46), (109, 84), (118, 99)]</t>
  </si>
  <si>
    <t>[(6, 41), (12, 103), (22, 115), (37, 122), (44, 78), (60, 110), (64, 11), (68, 68), (81, 24), (85, 133), (93, 39), (102, 36), (108, 115), (112, 8), (118, 95)]</t>
  </si>
  <si>
    <t>[(7, 32), (13, 110), (19, 108), (37, 108), (44, 85), (61, 111), (66, 8), (70, 95), (78, 37), (84, 80), (91, 54), (109, 80), (115, 64)]</t>
  </si>
  <si>
    <t>[(8, 39), (12, 26), (20, 52), (28, 27), (35, 76), (41, 9), (44, 84), (59, 29), (61, 117), (67, 88), (85, 120), (93, 77), (108, 88), (116, 57)]</t>
  </si>
  <si>
    <t>[(8, 38), (13, 122), (19, 10), (21, 49), (37, 80), (44, 81), (60, 69), (69, 109), (85, 81), (93, 86), (104, 22), (109, 96), (116, 66)]</t>
  </si>
  <si>
    <t>[(6, 28), (13, 97), (16, 12), (20, 81), (36, 115), (44, 89), (60, 78), (68, 86), (80, 24), (84, 87), (92, 104), (109, 101), (115, 71)]</t>
  </si>
  <si>
    <t>[(12, 93), (21, 86), (36, 107), (45, 92), (58, 40), (61, 82), (68, 77), (76, 10), (84, 55), (93, 62), (106, 38), (109, 122), (116, 57)]</t>
  </si>
  <si>
    <t>[(12, 99), (21, 105), (36, 121), (45, 53), (57, 36), (60, 79), (65, 11), (68, 52), (78, 36), (85, 100), (93, 95), (104, 45), (108, 122), (117, 85)]</t>
  </si>
  <si>
    <t>[(6, 33), (13, 93), (17, 13), (19, 64), (33, 17), (36, 101), (46, 66), (57, 33), (61, 92), (69, 102), (85, 135), (93, 86), (109, 162), (112, 11), (116, 62)]</t>
  </si>
  <si>
    <t>[(8, 21), (12, 82), (21, 54), (31, 25), (36, 88), (43, 83), (57, 19), (61, 87), (70, 76), (83, 73), (89, 13), (93, 80), (101, 27), (108, 88)]</t>
  </si>
  <si>
    <t>[(7, 26), (12, 120), (16, 12), (20, 68), (33, 30), (37, 87), (45, 85), (55, 20), (61, 91), (68, 101), (80, 38), (84, 109), (93, 69), (102, 24), (109, 104), (116, 82)]</t>
  </si>
  <si>
    <t>[(13, 130), (37, 110), (40, 12), (44, 106), (56, 30), (60, 146), (66, 15), (70, 67), (80, 29), (84, 110), (93, 54), (104, 31), (110, 72), (116, 12), (115, 64)]</t>
  </si>
  <si>
    <t>[(7, 38), (13, 98), (22, 58), (34, 32), (37, 82), (45, 51), (60, 86), (70, 65), (84, 95), (93, 75), (103, 31), (109, 126), (116, 76)]</t>
  </si>
  <si>
    <t>[(8, 38), (12, 134), (16, 14), (19, 56), (32, 36), (37, 129), (45, 64), (61, 90), (65, 10), (68, 89), (84, 37), (85, 92), (89, 4), (95, 50), (110, 103), (115, 97)]</t>
  </si>
  <si>
    <t>[(8, 25), (13, 126), (20, 50), (32, 32), (37, 64), (44, 70), (54, 26), (60, 102), (69, 80), (80, 39), (85, 87), (93, 65), (104, 46), (108, 67), (116, 123)]</t>
  </si>
  <si>
    <t>[(9, 23), (12, 121), (22, 75), (33, 42), (36, 104), (46, 81), (56, 21), (59, 114), (63, 10), (69, 41), (80, 37), (85, 118), (93, 93), (109, 84), (114, 11), (117, 77)]</t>
  </si>
  <si>
    <t>paziente</t>
  </si>
  <si>
    <t>death hypo mean</t>
  </si>
  <si>
    <t>death hypo st dev</t>
  </si>
  <si>
    <t>ultra hypo mean</t>
  </si>
  <si>
    <t>ultra hypo st dev</t>
  </si>
  <si>
    <t>heavy hypo mean</t>
  </si>
  <si>
    <t>heavy hypo st dev</t>
  </si>
  <si>
    <t>severe hypo mean</t>
  </si>
  <si>
    <t>severe hypo st dev</t>
  </si>
  <si>
    <t>hypo mean</t>
  </si>
  <si>
    <t>hypo st dev</t>
  </si>
  <si>
    <t>time in range mean</t>
  </si>
  <si>
    <t>time in range st dev</t>
  </si>
  <si>
    <t>hyper mean</t>
  </si>
  <si>
    <t>hyper st dev</t>
  </si>
  <si>
    <t>severe hyper mean</t>
  </si>
  <si>
    <t>severe hyper st dev</t>
  </si>
  <si>
    <t>heavy hyper mean</t>
  </si>
  <si>
    <t>heavy hyper st dev</t>
  </si>
  <si>
    <t>ultra hyper mean</t>
  </si>
  <si>
    <t>ultra hyper st dev</t>
  </si>
  <si>
    <t>death hyper mean</t>
  </si>
  <si>
    <t>death hyper st dev</t>
  </si>
  <si>
    <t>reward mean</t>
  </si>
  <si>
    <t>reward st dev</t>
  </si>
  <si>
    <t>LBGI mean of means</t>
  </si>
  <si>
    <t>LBGI mean of std</t>
  </si>
  <si>
    <t>HBGI mean of means</t>
  </si>
  <si>
    <t>HBGI mean of std</t>
  </si>
  <si>
    <t>RI mean of means</t>
  </si>
  <si>
    <t>RI mean of std</t>
  </si>
  <si>
    <t>cap mean</t>
  </si>
  <si>
    <t>ripetizioni</t>
  </si>
  <si>
    <t>start time</t>
  </si>
  <si>
    <t>adult#001</t>
  </si>
  <si>
    <t>5_days_1000_times</t>
  </si>
  <si>
    <t>adult#002</t>
  </si>
  <si>
    <t>adult#003</t>
  </si>
  <si>
    <t>adult#004</t>
  </si>
  <si>
    <t>adult#005</t>
  </si>
  <si>
    <t>adult#006</t>
  </si>
  <si>
    <t>adult#007</t>
  </si>
  <si>
    <t>adult#008</t>
  </si>
  <si>
    <t>adult#009</t>
  </si>
  <si>
    <t>adult#010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</si>
</sst>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"/>
  <sheetViews>
    <sheetView topLeftCell="A25" workbookViewId="0"/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0</v>
      </c>
      <c r="B2">
        <v>0</v>
      </c>
      <c r="C2">
        <v>0.79166666666666674</v>
      </c>
      <c r="D2">
        <v>4.1666666666666661</v>
      </c>
      <c r="E2">
        <v>15.625</v>
      </c>
      <c r="F2">
        <v>53.958333333333329</v>
      </c>
      <c r="G2">
        <v>17.583333333333339</v>
      </c>
      <c r="H2">
        <v>7.541666666666667</v>
      </c>
      <c r="I2">
        <v>0.33333333333333343</v>
      </c>
      <c r="J2">
        <v>0</v>
      </c>
      <c r="K2">
        <v>0</v>
      </c>
      <c r="L2">
        <v>-987.2761485194203</v>
      </c>
      <c r="M2">
        <v>9.6481708335462191</v>
      </c>
      <c r="N2">
        <v>9.9120253490299799</v>
      </c>
      <c r="O2">
        <v>10.758381245780679</v>
      </c>
      <c r="P2">
        <v>11.900512051857509</v>
      </c>
      <c r="Q2">
        <v>20.40655207932689</v>
      </c>
      <c r="R2">
        <v>15.487751083234089</v>
      </c>
      <c r="S2" t="s">
        <v>26</v>
      </c>
      <c r="T2" t="s">
        <v>27</v>
      </c>
      <c r="U2">
        <v>1024</v>
      </c>
      <c r="V2">
        <v>1024</v>
      </c>
      <c r="W2">
        <v>2400</v>
      </c>
      <c r="X2">
        <v>1</v>
      </c>
      <c r="Y2" t="s">
        <v>28</v>
      </c>
      <c r="Z2">
        <v>17.87711405754089</v>
      </c>
    </row>
    <row r="3" spans="1:26" x14ac:dyDescent="0.3">
      <c r="A3">
        <v>0</v>
      </c>
      <c r="B3">
        <v>0.45833333333333331</v>
      </c>
      <c r="C3">
        <v>2.541666666666667</v>
      </c>
      <c r="D3">
        <v>5.625</v>
      </c>
      <c r="E3">
        <v>9.8333333333333321</v>
      </c>
      <c r="F3">
        <v>55.791666666666657</v>
      </c>
      <c r="G3">
        <v>15</v>
      </c>
      <c r="H3">
        <v>10.75</v>
      </c>
      <c r="I3">
        <v>0</v>
      </c>
      <c r="J3">
        <v>0</v>
      </c>
      <c r="K3">
        <v>0</v>
      </c>
      <c r="L3">
        <v>-43.290773907480343</v>
      </c>
      <c r="M3">
        <v>10.266603679091929</v>
      </c>
      <c r="N3">
        <v>13.507262864414971</v>
      </c>
      <c r="O3">
        <v>11.749494551496211</v>
      </c>
      <c r="P3">
        <v>12.65122848013114</v>
      </c>
      <c r="Q3">
        <v>22.016098230588138</v>
      </c>
      <c r="R3">
        <v>18.506748286635471</v>
      </c>
      <c r="S3" t="s">
        <v>26</v>
      </c>
      <c r="T3" t="s">
        <v>27</v>
      </c>
      <c r="U3">
        <v>1024</v>
      </c>
      <c r="V3">
        <v>1024</v>
      </c>
      <c r="W3">
        <v>2400</v>
      </c>
      <c r="X3">
        <v>2</v>
      </c>
      <c r="Y3" t="s">
        <v>29</v>
      </c>
      <c r="Z3">
        <v>17.887481451034549</v>
      </c>
    </row>
    <row r="4" spans="1:26" x14ac:dyDescent="0.3">
      <c r="A4">
        <v>0</v>
      </c>
      <c r="B4">
        <v>8.3333333333333343E-2</v>
      </c>
      <c r="C4">
        <v>0.87500000000000011</v>
      </c>
      <c r="D4">
        <v>4.583333333333333</v>
      </c>
      <c r="E4">
        <v>15.08333333333333</v>
      </c>
      <c r="F4">
        <v>47.541666666666657</v>
      </c>
      <c r="G4">
        <v>19.708333333333329</v>
      </c>
      <c r="H4">
        <v>12.125</v>
      </c>
      <c r="I4">
        <v>0</v>
      </c>
      <c r="J4">
        <v>0</v>
      </c>
      <c r="K4">
        <v>0</v>
      </c>
      <c r="L4">
        <v>-100.05063569079179</v>
      </c>
      <c r="M4">
        <v>9.5340074417682317</v>
      </c>
      <c r="N4">
        <v>10.386944439327911</v>
      </c>
      <c r="O4">
        <v>13.2052768337447</v>
      </c>
      <c r="P4">
        <v>11.67923944526469</v>
      </c>
      <c r="Q4">
        <v>22.73928427551294</v>
      </c>
      <c r="R4">
        <v>15.62988319871622</v>
      </c>
      <c r="S4" t="s">
        <v>26</v>
      </c>
      <c r="T4" t="s">
        <v>27</v>
      </c>
      <c r="U4">
        <v>1024</v>
      </c>
      <c r="V4">
        <v>1024</v>
      </c>
      <c r="W4">
        <v>2400</v>
      </c>
      <c r="X4">
        <v>3</v>
      </c>
      <c r="Y4" t="s">
        <v>30</v>
      </c>
      <c r="Z4">
        <v>17.866896867752079</v>
      </c>
    </row>
    <row r="5" spans="1:26" x14ac:dyDescent="0.3">
      <c r="A5">
        <v>0</v>
      </c>
      <c r="B5">
        <v>8.3333333333333343E-2</v>
      </c>
      <c r="C5">
        <v>1.458333333333333</v>
      </c>
      <c r="D5">
        <v>2.541666666666667</v>
      </c>
      <c r="E5">
        <v>12.58333333333333</v>
      </c>
      <c r="F5">
        <v>62.666666666666671</v>
      </c>
      <c r="G5">
        <v>11.29166666666667</v>
      </c>
      <c r="H5">
        <v>9.375</v>
      </c>
      <c r="I5">
        <v>0</v>
      </c>
      <c r="J5">
        <v>0</v>
      </c>
      <c r="K5">
        <v>0</v>
      </c>
      <c r="L5">
        <v>-1099.1188853524491</v>
      </c>
      <c r="M5">
        <v>8.3034576247092335</v>
      </c>
      <c r="N5">
        <v>10.41271380822907</v>
      </c>
      <c r="O5">
        <v>9.8698457993178934</v>
      </c>
      <c r="P5">
        <v>11.08829379621509</v>
      </c>
      <c r="Q5">
        <v>18.173303424027129</v>
      </c>
      <c r="R5">
        <v>15.21101141158162</v>
      </c>
      <c r="S5" t="s">
        <v>26</v>
      </c>
      <c r="T5" t="s">
        <v>27</v>
      </c>
      <c r="U5">
        <v>1024</v>
      </c>
      <c r="V5">
        <v>1024</v>
      </c>
      <c r="W5">
        <v>2400</v>
      </c>
      <c r="X5">
        <v>4</v>
      </c>
      <c r="Y5" t="s">
        <v>31</v>
      </c>
      <c r="Z5">
        <v>17.853777170181271</v>
      </c>
    </row>
    <row r="6" spans="1:26" x14ac:dyDescent="0.3">
      <c r="A6">
        <v>0</v>
      </c>
      <c r="B6">
        <v>0.29166666666666669</v>
      </c>
      <c r="C6">
        <v>1.875</v>
      </c>
      <c r="D6">
        <v>5.083333333333333</v>
      </c>
      <c r="E6">
        <v>16.083333333333329</v>
      </c>
      <c r="F6">
        <v>51.541666666666657</v>
      </c>
      <c r="G6">
        <v>16.541666666666661</v>
      </c>
      <c r="H6">
        <v>8.5833333333333339</v>
      </c>
      <c r="I6">
        <v>0</v>
      </c>
      <c r="J6">
        <v>0</v>
      </c>
      <c r="K6">
        <v>0</v>
      </c>
      <c r="L6">
        <v>-397.779220917884</v>
      </c>
      <c r="M6">
        <v>11.18698552143869</v>
      </c>
      <c r="N6">
        <v>12.36327992733001</v>
      </c>
      <c r="O6">
        <v>10.37099840742877</v>
      </c>
      <c r="P6">
        <v>10.62671590440338</v>
      </c>
      <c r="Q6">
        <v>21.557983928867461</v>
      </c>
      <c r="R6">
        <v>16.30269246089188</v>
      </c>
      <c r="S6" t="s">
        <v>26</v>
      </c>
      <c r="T6" t="s">
        <v>27</v>
      </c>
      <c r="U6">
        <v>1024</v>
      </c>
      <c r="V6">
        <v>1024</v>
      </c>
      <c r="W6">
        <v>2400</v>
      </c>
      <c r="X6">
        <v>5</v>
      </c>
      <c r="Y6" t="s">
        <v>32</v>
      </c>
      <c r="Z6">
        <v>17.64782619476318</v>
      </c>
    </row>
    <row r="7" spans="1:26" x14ac:dyDescent="0.3">
      <c r="A7">
        <v>0</v>
      </c>
      <c r="B7">
        <v>0</v>
      </c>
      <c r="C7">
        <v>1.333333333333333</v>
      </c>
      <c r="D7">
        <v>3.666666666666667</v>
      </c>
      <c r="E7">
        <v>12.45833333333333</v>
      </c>
      <c r="F7">
        <v>59.916666666666657</v>
      </c>
      <c r="G7">
        <v>16.083333333333329</v>
      </c>
      <c r="H7">
        <v>6.5416666666666661</v>
      </c>
      <c r="I7">
        <v>0</v>
      </c>
      <c r="J7">
        <v>0</v>
      </c>
      <c r="K7">
        <v>0</v>
      </c>
      <c r="L7">
        <v>77.235744334082483</v>
      </c>
      <c r="M7">
        <v>9.2593895445566297</v>
      </c>
      <c r="N7">
        <v>10.75130503639741</v>
      </c>
      <c r="O7">
        <v>8.7819439076971779</v>
      </c>
      <c r="P7">
        <v>9.4322023781736313</v>
      </c>
      <c r="Q7">
        <v>18.041333452253809</v>
      </c>
      <c r="R7">
        <v>14.30234252451285</v>
      </c>
      <c r="S7" t="s">
        <v>26</v>
      </c>
      <c r="T7" t="s">
        <v>27</v>
      </c>
      <c r="U7">
        <v>1024</v>
      </c>
      <c r="V7">
        <v>1024</v>
      </c>
      <c r="W7">
        <v>2400</v>
      </c>
      <c r="X7">
        <v>6</v>
      </c>
      <c r="Y7" t="s">
        <v>33</v>
      </c>
      <c r="Z7">
        <v>17.829373598098751</v>
      </c>
    </row>
    <row r="8" spans="1:26" x14ac:dyDescent="0.3">
      <c r="A8">
        <v>0.29166666666666669</v>
      </c>
      <c r="B8">
        <v>1.083333333333333</v>
      </c>
      <c r="C8">
        <v>1</v>
      </c>
      <c r="D8">
        <v>1.958333333333333</v>
      </c>
      <c r="E8">
        <v>12.375</v>
      </c>
      <c r="F8">
        <v>56.875</v>
      </c>
      <c r="G8">
        <v>26.416666666666661</v>
      </c>
      <c r="H8">
        <v>0</v>
      </c>
      <c r="I8">
        <v>0</v>
      </c>
      <c r="J8">
        <v>0</v>
      </c>
      <c r="K8">
        <v>0</v>
      </c>
      <c r="L8">
        <v>99.039537712899119</v>
      </c>
      <c r="M8">
        <v>9.6053457555081447</v>
      </c>
      <c r="N8">
        <v>15.809118670370641</v>
      </c>
      <c r="O8">
        <v>7.633453640336759</v>
      </c>
      <c r="P8">
        <v>6.0510385932937911</v>
      </c>
      <c r="Q8">
        <v>17.2387993958449</v>
      </c>
      <c r="R8">
        <v>16.927589940431339</v>
      </c>
      <c r="S8" t="s">
        <v>26</v>
      </c>
      <c r="T8" t="s">
        <v>27</v>
      </c>
      <c r="U8">
        <v>1024</v>
      </c>
      <c r="V8">
        <v>1024</v>
      </c>
      <c r="W8">
        <v>2400</v>
      </c>
      <c r="X8">
        <v>7</v>
      </c>
      <c r="Y8" t="s">
        <v>34</v>
      </c>
      <c r="Z8">
        <v>17.95604944229126</v>
      </c>
    </row>
    <row r="9" spans="1:26" x14ac:dyDescent="0.3">
      <c r="A9">
        <v>0</v>
      </c>
      <c r="B9">
        <v>0.125</v>
      </c>
      <c r="C9">
        <v>1.291666666666667</v>
      </c>
      <c r="D9">
        <v>3.958333333333333</v>
      </c>
      <c r="E9">
        <v>16.041666666666671</v>
      </c>
      <c r="F9">
        <v>51.083333333333343</v>
      </c>
      <c r="G9">
        <v>24.458333333333339</v>
      </c>
      <c r="H9">
        <v>3.041666666666667</v>
      </c>
      <c r="I9">
        <v>0</v>
      </c>
      <c r="J9">
        <v>0</v>
      </c>
      <c r="K9">
        <v>0</v>
      </c>
      <c r="L9">
        <v>29.61877767913165</v>
      </c>
      <c r="M9">
        <v>10.882242301162041</v>
      </c>
      <c r="N9">
        <v>10.85682716695969</v>
      </c>
      <c r="O9">
        <v>8.5512891985060371</v>
      </c>
      <c r="P9">
        <v>7.1605811097890353</v>
      </c>
      <c r="Q9">
        <v>19.433531499668081</v>
      </c>
      <c r="R9">
        <v>13.005561039920639</v>
      </c>
      <c r="S9" t="s">
        <v>26</v>
      </c>
      <c r="T9" t="s">
        <v>27</v>
      </c>
      <c r="U9">
        <v>1024</v>
      </c>
      <c r="V9">
        <v>1024</v>
      </c>
      <c r="W9">
        <v>2400</v>
      </c>
      <c r="X9">
        <v>8</v>
      </c>
      <c r="Y9" t="s">
        <v>35</v>
      </c>
      <c r="Z9">
        <v>17.895063400268551</v>
      </c>
    </row>
    <row r="10" spans="1:26" x14ac:dyDescent="0.3">
      <c r="A10">
        <v>0</v>
      </c>
      <c r="B10">
        <v>0.41666666666666669</v>
      </c>
      <c r="C10">
        <v>0.75</v>
      </c>
      <c r="D10">
        <v>3.208333333333333</v>
      </c>
      <c r="E10">
        <v>15.875</v>
      </c>
      <c r="F10">
        <v>55.083333333333329</v>
      </c>
      <c r="G10">
        <v>15.79166666666667</v>
      </c>
      <c r="H10">
        <v>8.875</v>
      </c>
      <c r="I10">
        <v>0</v>
      </c>
      <c r="J10">
        <v>0</v>
      </c>
      <c r="K10">
        <v>0</v>
      </c>
      <c r="L10">
        <v>123.81640261129461</v>
      </c>
      <c r="M10">
        <v>9.795087863555171</v>
      </c>
      <c r="N10">
        <v>10.71893674209181</v>
      </c>
      <c r="O10">
        <v>10.224950372505759</v>
      </c>
      <c r="P10">
        <v>12.013435978844511</v>
      </c>
      <c r="Q10">
        <v>20.02003823606093</v>
      </c>
      <c r="R10">
        <v>16.10025617494211</v>
      </c>
      <c r="S10" t="s">
        <v>26</v>
      </c>
      <c r="T10" t="s">
        <v>27</v>
      </c>
      <c r="U10">
        <v>1024</v>
      </c>
      <c r="V10">
        <v>1024</v>
      </c>
      <c r="W10">
        <v>2400</v>
      </c>
      <c r="X10">
        <v>9</v>
      </c>
      <c r="Y10" t="s">
        <v>36</v>
      </c>
      <c r="Z10">
        <v>17.531680107116699</v>
      </c>
    </row>
    <row r="11" spans="1:26" x14ac:dyDescent="0.3">
      <c r="A11">
        <v>0</v>
      </c>
      <c r="B11">
        <v>0</v>
      </c>
      <c r="C11">
        <v>0.45833333333333331</v>
      </c>
      <c r="D11">
        <v>2.25</v>
      </c>
      <c r="E11">
        <v>13.29166666666667</v>
      </c>
      <c r="F11">
        <v>59.958333333333343</v>
      </c>
      <c r="G11">
        <v>17.583333333333339</v>
      </c>
      <c r="H11">
        <v>6.4583333333333339</v>
      </c>
      <c r="I11">
        <v>0</v>
      </c>
      <c r="J11">
        <v>0</v>
      </c>
      <c r="K11">
        <v>0</v>
      </c>
      <c r="L11">
        <v>98.450648744478144</v>
      </c>
      <c r="M11">
        <v>8.0281277869653564</v>
      </c>
      <c r="N11">
        <v>8.5135316861055994</v>
      </c>
      <c r="O11">
        <v>9.1206073703151667</v>
      </c>
      <c r="P11">
        <v>10.275710999546449</v>
      </c>
      <c r="Q11">
        <v>17.14873515728052</v>
      </c>
      <c r="R11">
        <v>13.344304339924349</v>
      </c>
      <c r="S11" t="s">
        <v>26</v>
      </c>
      <c r="T11" t="s">
        <v>27</v>
      </c>
      <c r="U11">
        <v>1024</v>
      </c>
      <c r="V11">
        <v>1024</v>
      </c>
      <c r="W11">
        <v>2400</v>
      </c>
      <c r="X11">
        <v>10</v>
      </c>
      <c r="Y11" t="s">
        <v>37</v>
      </c>
      <c r="Z11">
        <v>17.952709674835209</v>
      </c>
    </row>
    <row r="12" spans="1:26" x14ac:dyDescent="0.3">
      <c r="A12">
        <v>0</v>
      </c>
      <c r="B12">
        <v>0.25</v>
      </c>
      <c r="C12">
        <v>0.66666666666666674</v>
      </c>
      <c r="D12">
        <v>4.0416666666666661</v>
      </c>
      <c r="E12">
        <v>13.625</v>
      </c>
      <c r="F12">
        <v>57.75</v>
      </c>
      <c r="G12">
        <v>17.25</v>
      </c>
      <c r="H12">
        <v>6.4166666666666661</v>
      </c>
      <c r="I12">
        <v>0</v>
      </c>
      <c r="J12">
        <v>0</v>
      </c>
      <c r="K12">
        <v>0</v>
      </c>
      <c r="L12">
        <v>-170.27950405578869</v>
      </c>
      <c r="M12">
        <v>8.6057686231130024</v>
      </c>
      <c r="N12">
        <v>10.374446754523721</v>
      </c>
      <c r="O12">
        <v>9.0614818296676063</v>
      </c>
      <c r="P12">
        <v>9.8426841167870052</v>
      </c>
      <c r="Q12">
        <v>17.66725045278061</v>
      </c>
      <c r="R12">
        <v>14.300614535232359</v>
      </c>
      <c r="S12" t="s">
        <v>26</v>
      </c>
      <c r="T12" t="s">
        <v>27</v>
      </c>
      <c r="U12">
        <v>1024</v>
      </c>
      <c r="V12">
        <v>1024</v>
      </c>
      <c r="W12">
        <v>2400</v>
      </c>
      <c r="X12">
        <v>11</v>
      </c>
      <c r="Y12" t="s">
        <v>38</v>
      </c>
      <c r="Z12">
        <v>17.94454026222229</v>
      </c>
    </row>
    <row r="13" spans="1:26" x14ac:dyDescent="0.3">
      <c r="A13">
        <v>0</v>
      </c>
      <c r="B13">
        <v>0.33333333333333343</v>
      </c>
      <c r="C13">
        <v>1.375</v>
      </c>
      <c r="D13">
        <v>4.75</v>
      </c>
      <c r="E13">
        <v>15.70833333333333</v>
      </c>
      <c r="F13">
        <v>49.416666666666657</v>
      </c>
      <c r="G13">
        <v>19.833333333333329</v>
      </c>
      <c r="H13">
        <v>8.5833333333333339</v>
      </c>
      <c r="I13">
        <v>0</v>
      </c>
      <c r="J13">
        <v>0</v>
      </c>
      <c r="K13">
        <v>0</v>
      </c>
      <c r="L13">
        <v>-662.58689414999458</v>
      </c>
      <c r="M13">
        <v>11.766272631100639</v>
      </c>
      <c r="N13">
        <v>11.76161701062221</v>
      </c>
      <c r="O13">
        <v>11.234606464960139</v>
      </c>
      <c r="P13">
        <v>11.51813928046235</v>
      </c>
      <c r="Q13">
        <v>23.000879096060778</v>
      </c>
      <c r="R13">
        <v>16.462173829378891</v>
      </c>
      <c r="S13" t="s">
        <v>26</v>
      </c>
      <c r="T13" t="s">
        <v>27</v>
      </c>
      <c r="U13">
        <v>1024</v>
      </c>
      <c r="V13">
        <v>1024</v>
      </c>
      <c r="W13">
        <v>2400</v>
      </c>
      <c r="X13">
        <v>12</v>
      </c>
      <c r="Y13" t="s">
        <v>39</v>
      </c>
      <c r="Z13">
        <v>17.78084397315979</v>
      </c>
    </row>
    <row r="14" spans="1:26" x14ac:dyDescent="0.3">
      <c r="A14">
        <v>0</v>
      </c>
      <c r="B14">
        <v>0.45833333333333331</v>
      </c>
      <c r="C14">
        <v>0.70833333333333326</v>
      </c>
      <c r="D14">
        <v>3.666666666666667</v>
      </c>
      <c r="E14">
        <v>12.70833333333333</v>
      </c>
      <c r="F14">
        <v>58.125000000000007</v>
      </c>
      <c r="G14">
        <v>18.208333333333339</v>
      </c>
      <c r="H14">
        <v>6.125</v>
      </c>
      <c r="I14">
        <v>0</v>
      </c>
      <c r="J14">
        <v>0</v>
      </c>
      <c r="K14">
        <v>0</v>
      </c>
      <c r="L14">
        <v>38.374508528767358</v>
      </c>
      <c r="M14">
        <v>9.5062837766063435</v>
      </c>
      <c r="N14">
        <v>11.68239361807883</v>
      </c>
      <c r="O14">
        <v>8.8641335247321198</v>
      </c>
      <c r="P14">
        <v>9.1791611204897166</v>
      </c>
      <c r="Q14">
        <v>18.37041730133846</v>
      </c>
      <c r="R14">
        <v>14.857163912525129</v>
      </c>
      <c r="S14" t="s">
        <v>26</v>
      </c>
      <c r="T14" t="s">
        <v>27</v>
      </c>
      <c r="U14">
        <v>1024</v>
      </c>
      <c r="V14">
        <v>1024</v>
      </c>
      <c r="W14">
        <v>2400</v>
      </c>
      <c r="X14">
        <v>13</v>
      </c>
      <c r="Y14" t="s">
        <v>40</v>
      </c>
      <c r="Z14">
        <v>17.938286066055301</v>
      </c>
    </row>
    <row r="15" spans="1:26" x14ac:dyDescent="0.3">
      <c r="A15">
        <v>0</v>
      </c>
      <c r="B15">
        <v>0.54166666666666674</v>
      </c>
      <c r="C15">
        <v>2.083333333333333</v>
      </c>
      <c r="D15">
        <v>4.875</v>
      </c>
      <c r="E15">
        <v>10.08333333333333</v>
      </c>
      <c r="F15">
        <v>65.458333333333329</v>
      </c>
      <c r="G15">
        <v>13.625</v>
      </c>
      <c r="H15">
        <v>3.333333333333333</v>
      </c>
      <c r="I15">
        <v>0</v>
      </c>
      <c r="J15">
        <v>0</v>
      </c>
      <c r="K15">
        <v>0</v>
      </c>
      <c r="L15">
        <v>-19.28917945369221</v>
      </c>
      <c r="M15">
        <v>10.272240475355391</v>
      </c>
      <c r="N15">
        <v>12.980721441742491</v>
      </c>
      <c r="O15">
        <v>7.3342385490443576</v>
      </c>
      <c r="P15">
        <v>9.2395759984548942</v>
      </c>
      <c r="Q15">
        <v>17.60647902439975</v>
      </c>
      <c r="R15">
        <v>15.93326375164037</v>
      </c>
      <c r="S15" t="s">
        <v>26</v>
      </c>
      <c r="T15" t="s">
        <v>27</v>
      </c>
      <c r="U15">
        <v>1024</v>
      </c>
      <c r="V15">
        <v>1024</v>
      </c>
      <c r="W15">
        <v>2400</v>
      </c>
      <c r="X15">
        <v>14</v>
      </c>
      <c r="Y15" t="s">
        <v>41</v>
      </c>
      <c r="Z15">
        <v>17.756273984909061</v>
      </c>
    </row>
    <row r="16" spans="1:26" x14ac:dyDescent="0.3">
      <c r="A16">
        <v>0</v>
      </c>
      <c r="B16">
        <v>0.25</v>
      </c>
      <c r="C16">
        <v>1.291666666666667</v>
      </c>
      <c r="D16">
        <v>3.333333333333333</v>
      </c>
      <c r="E16">
        <v>16.041666666666671</v>
      </c>
      <c r="F16">
        <v>61.750000000000007</v>
      </c>
      <c r="G16">
        <v>14.375</v>
      </c>
      <c r="H16">
        <v>2.958333333333333</v>
      </c>
      <c r="I16">
        <v>0</v>
      </c>
      <c r="J16">
        <v>0</v>
      </c>
      <c r="K16">
        <v>0</v>
      </c>
      <c r="L16">
        <v>-1441.2165134171551</v>
      </c>
      <c r="M16">
        <v>9.5508865960662455</v>
      </c>
      <c r="N16">
        <v>11.078725517080329</v>
      </c>
      <c r="O16">
        <v>7.2282340206407669</v>
      </c>
      <c r="P16">
        <v>7.9038974925500058</v>
      </c>
      <c r="Q16">
        <v>16.779120616707011</v>
      </c>
      <c r="R16">
        <v>13.609179058839111</v>
      </c>
      <c r="S16" t="s">
        <v>26</v>
      </c>
      <c r="T16" t="s">
        <v>27</v>
      </c>
      <c r="U16">
        <v>1024</v>
      </c>
      <c r="V16">
        <v>1024</v>
      </c>
      <c r="W16">
        <v>2400</v>
      </c>
      <c r="X16">
        <v>15</v>
      </c>
      <c r="Y16" t="s">
        <v>42</v>
      </c>
      <c r="Z16">
        <v>17.766883134841919</v>
      </c>
    </row>
    <row r="17" spans="1:26" x14ac:dyDescent="0.3">
      <c r="A17">
        <v>0.125</v>
      </c>
      <c r="B17">
        <v>0.125</v>
      </c>
      <c r="C17">
        <v>1.458333333333333</v>
      </c>
      <c r="D17">
        <v>3.291666666666667</v>
      </c>
      <c r="E17">
        <v>11.91666666666667</v>
      </c>
      <c r="F17">
        <v>57.583333333333329</v>
      </c>
      <c r="G17">
        <v>18.958333333333329</v>
      </c>
      <c r="H17">
        <v>6.5416666666666661</v>
      </c>
      <c r="I17">
        <v>0</v>
      </c>
      <c r="J17">
        <v>0</v>
      </c>
      <c r="K17">
        <v>0</v>
      </c>
      <c r="L17">
        <v>77.37798597074152</v>
      </c>
      <c r="M17">
        <v>9.1247575964856278</v>
      </c>
      <c r="N17">
        <v>12.33363626486917</v>
      </c>
      <c r="O17">
        <v>9.5872010412519391</v>
      </c>
      <c r="P17">
        <v>9.1429034057940353</v>
      </c>
      <c r="Q17">
        <v>18.71195863773757</v>
      </c>
      <c r="R17">
        <v>15.352891134954881</v>
      </c>
      <c r="S17" t="s">
        <v>26</v>
      </c>
      <c r="T17" t="s">
        <v>27</v>
      </c>
      <c r="U17">
        <v>1024</v>
      </c>
      <c r="V17">
        <v>1024</v>
      </c>
      <c r="W17">
        <v>2400</v>
      </c>
      <c r="X17">
        <v>16</v>
      </c>
      <c r="Y17" t="s">
        <v>43</v>
      </c>
      <c r="Z17">
        <v>17.654628992080688</v>
      </c>
    </row>
    <row r="18" spans="1:26" x14ac:dyDescent="0.3">
      <c r="A18">
        <v>0</v>
      </c>
      <c r="B18">
        <v>0.16666666666666671</v>
      </c>
      <c r="C18">
        <v>0.54166666666666674</v>
      </c>
      <c r="D18">
        <v>2.833333333333333</v>
      </c>
      <c r="E18">
        <v>13.29166666666667</v>
      </c>
      <c r="F18">
        <v>62.250000000000007</v>
      </c>
      <c r="G18">
        <v>15.16666666666667</v>
      </c>
      <c r="H18">
        <v>5.75</v>
      </c>
      <c r="I18">
        <v>0</v>
      </c>
      <c r="J18">
        <v>0</v>
      </c>
      <c r="K18">
        <v>0</v>
      </c>
      <c r="L18">
        <v>113.3296804462816</v>
      </c>
      <c r="M18">
        <v>8.6912003831066755</v>
      </c>
      <c r="N18">
        <v>9.801319222413218</v>
      </c>
      <c r="O18">
        <v>8.0676452739693083</v>
      </c>
      <c r="P18">
        <v>9.2197718305108367</v>
      </c>
      <c r="Q18">
        <v>16.75884565707598</v>
      </c>
      <c r="R18">
        <v>13.45622722408952</v>
      </c>
      <c r="S18" t="s">
        <v>26</v>
      </c>
      <c r="T18" t="s">
        <v>27</v>
      </c>
      <c r="U18">
        <v>1024</v>
      </c>
      <c r="V18">
        <v>1024</v>
      </c>
      <c r="W18">
        <v>2400</v>
      </c>
      <c r="X18">
        <v>17</v>
      </c>
      <c r="Y18" t="s">
        <v>44</v>
      </c>
      <c r="Z18">
        <v>17.865344285964969</v>
      </c>
    </row>
    <row r="19" spans="1:26" x14ac:dyDescent="0.3">
      <c r="A19">
        <v>0</v>
      </c>
      <c r="B19">
        <v>0.16666666666666671</v>
      </c>
      <c r="C19">
        <v>3.083333333333333</v>
      </c>
      <c r="D19">
        <v>4.1666666666666661</v>
      </c>
      <c r="E19">
        <v>14.25</v>
      </c>
      <c r="F19">
        <v>48.583333333333343</v>
      </c>
      <c r="G19">
        <v>18.041666666666671</v>
      </c>
      <c r="H19">
        <v>11.70833333333333</v>
      </c>
      <c r="I19">
        <v>0</v>
      </c>
      <c r="J19">
        <v>0</v>
      </c>
      <c r="K19">
        <v>0</v>
      </c>
      <c r="L19">
        <v>-1005.998146315001</v>
      </c>
      <c r="M19">
        <v>11.88885693888149</v>
      </c>
      <c r="N19">
        <v>12.91716113300709</v>
      </c>
      <c r="O19">
        <v>11.81402536171333</v>
      </c>
      <c r="P19">
        <v>10.53742489770449</v>
      </c>
      <c r="Q19">
        <v>23.702882300594819</v>
      </c>
      <c r="R19">
        <v>16.670044247416719</v>
      </c>
      <c r="S19" t="s">
        <v>26</v>
      </c>
      <c r="T19" t="s">
        <v>27</v>
      </c>
      <c r="U19">
        <v>1024</v>
      </c>
      <c r="V19">
        <v>1024</v>
      </c>
      <c r="W19">
        <v>2400</v>
      </c>
      <c r="X19">
        <v>18</v>
      </c>
      <c r="Y19" t="s">
        <v>45</v>
      </c>
      <c r="Z19">
        <v>17.98171162605286</v>
      </c>
    </row>
    <row r="20" spans="1:26" x14ac:dyDescent="0.3">
      <c r="A20">
        <v>0</v>
      </c>
      <c r="B20">
        <v>0.29166666666666669</v>
      </c>
      <c r="C20">
        <v>2.041666666666667</v>
      </c>
      <c r="D20">
        <v>3.666666666666667</v>
      </c>
      <c r="E20">
        <v>12</v>
      </c>
      <c r="F20">
        <v>52.375000000000007</v>
      </c>
      <c r="G20">
        <v>21.333333333333339</v>
      </c>
      <c r="H20">
        <v>8.2916666666666661</v>
      </c>
      <c r="I20">
        <v>0</v>
      </c>
      <c r="J20">
        <v>0</v>
      </c>
      <c r="K20">
        <v>0</v>
      </c>
      <c r="L20">
        <v>-204.43301121463901</v>
      </c>
      <c r="M20">
        <v>10.25297858469424</v>
      </c>
      <c r="N20">
        <v>12.48670432658138</v>
      </c>
      <c r="O20">
        <v>10.386560521699209</v>
      </c>
      <c r="P20">
        <v>9.4362387911391306</v>
      </c>
      <c r="Q20">
        <v>20.63953910639346</v>
      </c>
      <c r="R20">
        <v>15.6512104152639</v>
      </c>
      <c r="S20" t="s">
        <v>26</v>
      </c>
      <c r="T20" t="s">
        <v>27</v>
      </c>
      <c r="U20">
        <v>1024</v>
      </c>
      <c r="V20">
        <v>1024</v>
      </c>
      <c r="W20">
        <v>2400</v>
      </c>
      <c r="X20">
        <v>19</v>
      </c>
      <c r="Y20" t="s">
        <v>46</v>
      </c>
      <c r="Z20">
        <v>17.866236925125119</v>
      </c>
    </row>
    <row r="21" spans="1:26" x14ac:dyDescent="0.3">
      <c r="A21">
        <v>0</v>
      </c>
      <c r="B21">
        <v>0</v>
      </c>
      <c r="C21">
        <v>1.041666666666667</v>
      </c>
      <c r="D21">
        <v>4.083333333333333</v>
      </c>
      <c r="E21">
        <v>16.5</v>
      </c>
      <c r="F21">
        <v>48.25</v>
      </c>
      <c r="G21">
        <v>21.25</v>
      </c>
      <c r="H21">
        <v>8.875</v>
      </c>
      <c r="I21">
        <v>0</v>
      </c>
      <c r="J21">
        <v>0</v>
      </c>
      <c r="K21">
        <v>0</v>
      </c>
      <c r="L21">
        <v>5.4737825492682077</v>
      </c>
      <c r="M21">
        <v>10.03407031044703</v>
      </c>
      <c r="N21">
        <v>9.6739080040421364</v>
      </c>
      <c r="O21">
        <v>11.105291016966071</v>
      </c>
      <c r="P21">
        <v>9.6525798915171404</v>
      </c>
      <c r="Q21">
        <v>21.139361327413098</v>
      </c>
      <c r="R21">
        <v>13.66589896906865</v>
      </c>
      <c r="S21" t="s">
        <v>26</v>
      </c>
      <c r="T21" t="s">
        <v>27</v>
      </c>
      <c r="U21">
        <v>1024</v>
      </c>
      <c r="V21">
        <v>1024</v>
      </c>
      <c r="W21">
        <v>2400</v>
      </c>
      <c r="X21">
        <v>20</v>
      </c>
      <c r="Y21" t="s">
        <v>47</v>
      </c>
      <c r="Z21">
        <v>17.671423435211182</v>
      </c>
    </row>
    <row r="22" spans="1:26" x14ac:dyDescent="0.3">
      <c r="A22">
        <v>0</v>
      </c>
      <c r="B22">
        <v>0.79166666666666674</v>
      </c>
      <c r="C22">
        <v>1.625</v>
      </c>
      <c r="D22">
        <v>3.791666666666667</v>
      </c>
      <c r="E22">
        <v>12.625</v>
      </c>
      <c r="F22">
        <v>55.958333333333329</v>
      </c>
      <c r="G22">
        <v>18.041666666666671</v>
      </c>
      <c r="H22">
        <v>7.166666666666667</v>
      </c>
      <c r="I22">
        <v>0</v>
      </c>
      <c r="J22">
        <v>0</v>
      </c>
      <c r="K22">
        <v>0</v>
      </c>
      <c r="L22">
        <v>75.957283562316434</v>
      </c>
      <c r="M22">
        <v>10.579571087310271</v>
      </c>
      <c r="N22">
        <v>14.565729481141799</v>
      </c>
      <c r="O22">
        <v>9.9706254678739867</v>
      </c>
      <c r="P22">
        <v>10.406501158546551</v>
      </c>
      <c r="Q22">
        <v>20.55019655518425</v>
      </c>
      <c r="R22">
        <v>17.901277654978539</v>
      </c>
      <c r="S22" t="s">
        <v>26</v>
      </c>
      <c r="T22" t="s">
        <v>27</v>
      </c>
      <c r="U22">
        <v>1024</v>
      </c>
      <c r="V22">
        <v>1024</v>
      </c>
      <c r="W22">
        <v>2400</v>
      </c>
      <c r="X22">
        <v>21</v>
      </c>
      <c r="Y22" t="s">
        <v>48</v>
      </c>
      <c r="Z22">
        <v>17.956002712249759</v>
      </c>
    </row>
    <row r="23" spans="1:26" x14ac:dyDescent="0.3">
      <c r="A23">
        <v>0</v>
      </c>
      <c r="B23">
        <v>0.20833333333333329</v>
      </c>
      <c r="C23">
        <v>0.33333333333333343</v>
      </c>
      <c r="D23">
        <v>2.25</v>
      </c>
      <c r="E23">
        <v>15.33333333333333</v>
      </c>
      <c r="F23">
        <v>54</v>
      </c>
      <c r="G23">
        <v>22.958333333333329</v>
      </c>
      <c r="H23">
        <v>4.9166666666666661</v>
      </c>
      <c r="I23">
        <v>0</v>
      </c>
      <c r="J23">
        <v>0</v>
      </c>
      <c r="K23">
        <v>0</v>
      </c>
      <c r="L23">
        <v>-435.02801588125681</v>
      </c>
      <c r="M23">
        <v>8.2660630489706275</v>
      </c>
      <c r="N23">
        <v>9.2827575449653477</v>
      </c>
      <c r="O23">
        <v>9.1174707008789309</v>
      </c>
      <c r="P23">
        <v>8.5021254648406011</v>
      </c>
      <c r="Q23">
        <v>17.383533749849558</v>
      </c>
      <c r="R23">
        <v>12.58791980664407</v>
      </c>
      <c r="S23" t="s">
        <v>26</v>
      </c>
      <c r="T23" t="s">
        <v>27</v>
      </c>
      <c r="U23">
        <v>1024</v>
      </c>
      <c r="V23">
        <v>1024</v>
      </c>
      <c r="W23">
        <v>2400</v>
      </c>
      <c r="X23">
        <v>22</v>
      </c>
      <c r="Y23" t="s">
        <v>49</v>
      </c>
      <c r="Z23">
        <v>17.845152616500851</v>
      </c>
    </row>
    <row r="24" spans="1:26" x14ac:dyDescent="0.3">
      <c r="A24">
        <v>0</v>
      </c>
      <c r="B24">
        <v>8.3333333333333343E-2</v>
      </c>
      <c r="C24">
        <v>0.95833333333333326</v>
      </c>
      <c r="D24">
        <v>2.75</v>
      </c>
      <c r="E24">
        <v>10.20833333333333</v>
      </c>
      <c r="F24">
        <v>57.583333333333329</v>
      </c>
      <c r="G24">
        <v>24.375</v>
      </c>
      <c r="H24">
        <v>4.0416666666666661</v>
      </c>
      <c r="I24">
        <v>0</v>
      </c>
      <c r="J24">
        <v>0</v>
      </c>
      <c r="K24">
        <v>0</v>
      </c>
      <c r="L24">
        <v>-227.6251831761281</v>
      </c>
      <c r="M24">
        <v>7.6082552855471093</v>
      </c>
      <c r="N24">
        <v>9.9488207122694199</v>
      </c>
      <c r="O24">
        <v>9.7174630303966332</v>
      </c>
      <c r="P24">
        <v>8.6267861861328541</v>
      </c>
      <c r="Q24">
        <v>17.325718315943739</v>
      </c>
      <c r="R24">
        <v>13.168161354803241</v>
      </c>
      <c r="S24" t="s">
        <v>26</v>
      </c>
      <c r="T24" t="s">
        <v>27</v>
      </c>
      <c r="U24">
        <v>1024</v>
      </c>
      <c r="V24">
        <v>1024</v>
      </c>
      <c r="W24">
        <v>2400</v>
      </c>
      <c r="X24">
        <v>23</v>
      </c>
      <c r="Y24" t="s">
        <v>50</v>
      </c>
      <c r="Z24">
        <v>17.903841972351071</v>
      </c>
    </row>
    <row r="25" spans="1:26" x14ac:dyDescent="0.3">
      <c r="A25">
        <v>8.3333333333333343E-2</v>
      </c>
      <c r="B25">
        <v>0.20833333333333329</v>
      </c>
      <c r="C25">
        <v>1.333333333333333</v>
      </c>
      <c r="D25">
        <v>4.833333333333333</v>
      </c>
      <c r="E25">
        <v>14.45833333333333</v>
      </c>
      <c r="F25">
        <v>52.166666666666657</v>
      </c>
      <c r="G25">
        <v>17.125</v>
      </c>
      <c r="H25">
        <v>9.7916666666666661</v>
      </c>
      <c r="I25">
        <v>0</v>
      </c>
      <c r="J25">
        <v>0</v>
      </c>
      <c r="K25">
        <v>0</v>
      </c>
      <c r="L25">
        <v>-240.65207350886359</v>
      </c>
      <c r="M25">
        <v>10.792777345485391</v>
      </c>
      <c r="N25">
        <v>12.26996847286804</v>
      </c>
      <c r="O25">
        <v>10.859018851952399</v>
      </c>
      <c r="P25">
        <v>10.344223127965019</v>
      </c>
      <c r="Q25">
        <v>21.65179619743779</v>
      </c>
      <c r="R25">
        <v>16.048522625036298</v>
      </c>
      <c r="S25" t="s">
        <v>26</v>
      </c>
      <c r="T25" t="s">
        <v>27</v>
      </c>
      <c r="U25">
        <v>1024</v>
      </c>
      <c r="V25">
        <v>1024</v>
      </c>
      <c r="W25">
        <v>2400</v>
      </c>
      <c r="X25">
        <v>24</v>
      </c>
      <c r="Y25" t="s">
        <v>51</v>
      </c>
      <c r="Z25">
        <v>17.80199217796326</v>
      </c>
    </row>
    <row r="26" spans="1:26" x14ac:dyDescent="0.3">
      <c r="A26">
        <v>0</v>
      </c>
      <c r="B26">
        <v>0</v>
      </c>
      <c r="C26">
        <v>0.58333333333333337</v>
      </c>
      <c r="D26">
        <v>4.0416666666666661</v>
      </c>
      <c r="E26">
        <v>17.791666666666671</v>
      </c>
      <c r="F26">
        <v>48.125</v>
      </c>
      <c r="G26">
        <v>19.333333333333329</v>
      </c>
      <c r="H26">
        <v>10.125</v>
      </c>
      <c r="I26">
        <v>0</v>
      </c>
      <c r="J26">
        <v>0</v>
      </c>
      <c r="K26">
        <v>0</v>
      </c>
      <c r="L26">
        <v>-1040.588021197862</v>
      </c>
      <c r="M26">
        <v>9.757485244654676</v>
      </c>
      <c r="N26">
        <v>8.9957526272739319</v>
      </c>
      <c r="O26">
        <v>11.83018976872399</v>
      </c>
      <c r="P26">
        <v>10.49910637762237</v>
      </c>
      <c r="Q26">
        <v>21.587675013378661</v>
      </c>
      <c r="R26">
        <v>13.825874296395749</v>
      </c>
      <c r="S26" t="s">
        <v>26</v>
      </c>
      <c r="T26" t="s">
        <v>27</v>
      </c>
      <c r="U26">
        <v>1024</v>
      </c>
      <c r="V26">
        <v>1024</v>
      </c>
      <c r="W26">
        <v>2400</v>
      </c>
      <c r="X26">
        <v>25</v>
      </c>
      <c r="Y26" t="s">
        <v>52</v>
      </c>
      <c r="Z26">
        <v>17.820031881332401</v>
      </c>
    </row>
    <row r="27" spans="1:26" x14ac:dyDescent="0.3">
      <c r="A27">
        <v>0</v>
      </c>
      <c r="B27">
        <v>0</v>
      </c>
      <c r="C27">
        <v>0.45833333333333331</v>
      </c>
      <c r="D27">
        <v>5.125</v>
      </c>
      <c r="E27">
        <v>15.70833333333333</v>
      </c>
      <c r="F27">
        <v>60.958333333333343</v>
      </c>
      <c r="G27">
        <v>13.79166666666667</v>
      </c>
      <c r="H27">
        <v>3.958333333333333</v>
      </c>
      <c r="I27">
        <v>0</v>
      </c>
      <c r="J27">
        <v>0</v>
      </c>
      <c r="K27">
        <v>0</v>
      </c>
      <c r="L27">
        <v>-616.80190364381701</v>
      </c>
      <c r="M27">
        <v>9.2795808558974056</v>
      </c>
      <c r="N27">
        <v>9.5020858206474816</v>
      </c>
      <c r="O27">
        <v>7.5806372881746222</v>
      </c>
      <c r="P27">
        <v>7.9551868607391549</v>
      </c>
      <c r="Q27">
        <v>16.860218144072029</v>
      </c>
      <c r="R27">
        <v>12.392523267366769</v>
      </c>
      <c r="S27" t="s">
        <v>26</v>
      </c>
      <c r="T27" t="s">
        <v>27</v>
      </c>
      <c r="U27">
        <v>1024</v>
      </c>
      <c r="V27">
        <v>1024</v>
      </c>
      <c r="W27">
        <v>2400</v>
      </c>
      <c r="X27">
        <v>26</v>
      </c>
      <c r="Y27" t="s">
        <v>53</v>
      </c>
      <c r="Z27">
        <v>17.968468189239498</v>
      </c>
    </row>
    <row r="28" spans="1:26" x14ac:dyDescent="0.3">
      <c r="A28">
        <v>0.375</v>
      </c>
      <c r="B28">
        <v>0.25</v>
      </c>
      <c r="C28">
        <v>1.666666666666667</v>
      </c>
      <c r="D28">
        <v>3.416666666666667</v>
      </c>
      <c r="E28">
        <v>12.70833333333333</v>
      </c>
      <c r="F28">
        <v>53.416666666666671</v>
      </c>
      <c r="G28">
        <v>22.291666666666671</v>
      </c>
      <c r="H28">
        <v>5.875</v>
      </c>
      <c r="I28">
        <v>0</v>
      </c>
      <c r="J28">
        <v>0</v>
      </c>
      <c r="K28">
        <v>0</v>
      </c>
      <c r="L28">
        <v>-233.86624257187989</v>
      </c>
      <c r="M28">
        <v>10.649152536500759</v>
      </c>
      <c r="N28">
        <v>14.33336725669033</v>
      </c>
      <c r="O28">
        <v>10.46313166676396</v>
      </c>
      <c r="P28">
        <v>10.47929981105939</v>
      </c>
      <c r="Q28">
        <v>21.112284203264711</v>
      </c>
      <c r="R28">
        <v>17.755594651974679</v>
      </c>
      <c r="S28" t="s">
        <v>26</v>
      </c>
      <c r="T28" t="s">
        <v>27</v>
      </c>
      <c r="U28">
        <v>1024</v>
      </c>
      <c r="V28">
        <v>1024</v>
      </c>
      <c r="W28">
        <v>2400</v>
      </c>
      <c r="X28">
        <v>27</v>
      </c>
      <c r="Y28" t="s">
        <v>54</v>
      </c>
      <c r="Z28">
        <v>17.899493217468262</v>
      </c>
    </row>
    <row r="29" spans="1:26" x14ac:dyDescent="0.3">
      <c r="A29">
        <v>0</v>
      </c>
      <c r="B29">
        <v>0.16666666666666671</v>
      </c>
      <c r="C29">
        <v>0.54166666666666674</v>
      </c>
      <c r="D29">
        <v>4.708333333333333</v>
      </c>
      <c r="E29">
        <v>13.625</v>
      </c>
      <c r="F29">
        <v>56.541666666666671</v>
      </c>
      <c r="G29">
        <v>19.958333333333329</v>
      </c>
      <c r="H29">
        <v>4.4583333333333339</v>
      </c>
      <c r="I29">
        <v>0</v>
      </c>
      <c r="J29">
        <v>0</v>
      </c>
      <c r="K29">
        <v>0</v>
      </c>
      <c r="L29">
        <v>-75.768701197296537</v>
      </c>
      <c r="M29">
        <v>8.3783256185164987</v>
      </c>
      <c r="N29">
        <v>10.0223179234853</v>
      </c>
      <c r="O29">
        <v>9.0735506820120264</v>
      </c>
      <c r="P29">
        <v>8.8800872866400535</v>
      </c>
      <c r="Q29">
        <v>17.451876300528529</v>
      </c>
      <c r="R29">
        <v>13.3903997990262</v>
      </c>
      <c r="S29" t="s">
        <v>26</v>
      </c>
      <c r="T29" t="s">
        <v>27</v>
      </c>
      <c r="U29">
        <v>1024</v>
      </c>
      <c r="V29">
        <v>1024</v>
      </c>
      <c r="W29">
        <v>2400</v>
      </c>
      <c r="X29">
        <v>28</v>
      </c>
      <c r="Y29" t="s">
        <v>55</v>
      </c>
      <c r="Z29">
        <v>17.746041297912601</v>
      </c>
    </row>
    <row r="30" spans="1:26" x14ac:dyDescent="0.3">
      <c r="A30">
        <v>0</v>
      </c>
      <c r="B30">
        <v>0</v>
      </c>
      <c r="C30">
        <v>0.79166666666666674</v>
      </c>
      <c r="D30">
        <v>6.833333333333333</v>
      </c>
      <c r="E30">
        <v>12.5</v>
      </c>
      <c r="F30">
        <v>50</v>
      </c>
      <c r="G30">
        <v>21.583333333333329</v>
      </c>
      <c r="H30">
        <v>8.2916666666666661</v>
      </c>
      <c r="I30">
        <v>0</v>
      </c>
      <c r="J30">
        <v>0</v>
      </c>
      <c r="K30">
        <v>0</v>
      </c>
      <c r="L30">
        <v>-697.59849525678578</v>
      </c>
      <c r="M30">
        <v>11.13281811659937</v>
      </c>
      <c r="N30">
        <v>10.956646588217399</v>
      </c>
      <c r="O30">
        <v>10.44110522637693</v>
      </c>
      <c r="P30">
        <v>9.6946830449051404</v>
      </c>
      <c r="Q30">
        <v>21.5739233429763</v>
      </c>
      <c r="R30">
        <v>14.62993451114076</v>
      </c>
      <c r="S30" t="s">
        <v>26</v>
      </c>
      <c r="T30" t="s">
        <v>27</v>
      </c>
      <c r="U30">
        <v>1024</v>
      </c>
      <c r="V30">
        <v>1024</v>
      </c>
      <c r="W30">
        <v>2400</v>
      </c>
      <c r="X30">
        <v>29</v>
      </c>
      <c r="Y30" t="s">
        <v>56</v>
      </c>
      <c r="Z30">
        <v>17.948952913284302</v>
      </c>
    </row>
    <row r="31" spans="1:26" x14ac:dyDescent="0.3">
      <c r="A31">
        <v>0</v>
      </c>
      <c r="B31">
        <v>0.45833333333333331</v>
      </c>
      <c r="C31">
        <v>1.333333333333333</v>
      </c>
      <c r="D31">
        <v>3.25</v>
      </c>
      <c r="E31">
        <v>15.83333333333333</v>
      </c>
      <c r="F31">
        <v>51.375000000000007</v>
      </c>
      <c r="G31">
        <v>18.958333333333329</v>
      </c>
      <c r="H31">
        <v>8.7916666666666679</v>
      </c>
      <c r="I31">
        <v>0</v>
      </c>
      <c r="J31">
        <v>0</v>
      </c>
      <c r="K31">
        <v>0</v>
      </c>
      <c r="L31">
        <v>-288.16708121147008</v>
      </c>
      <c r="M31">
        <v>9.6499387748479801</v>
      </c>
      <c r="N31">
        <v>11.98127549032399</v>
      </c>
      <c r="O31">
        <v>11.36030090378636</v>
      </c>
      <c r="P31">
        <v>9.9471351699655362</v>
      </c>
      <c r="Q31">
        <v>21.010239678634338</v>
      </c>
      <c r="R31">
        <v>15.57229785435033</v>
      </c>
      <c r="S31" t="s">
        <v>26</v>
      </c>
      <c r="T31" t="s">
        <v>27</v>
      </c>
      <c r="U31">
        <v>1024</v>
      </c>
      <c r="V31">
        <v>1024</v>
      </c>
      <c r="W31">
        <v>2400</v>
      </c>
      <c r="X31">
        <v>30</v>
      </c>
      <c r="Y31" t="s">
        <v>57</v>
      </c>
      <c r="Z31">
        <v>17.906797885894779</v>
      </c>
    </row>
    <row r="32" spans="1:26" x14ac:dyDescent="0.3">
      <c r="A32">
        <v>0</v>
      </c>
      <c r="B32">
        <v>0</v>
      </c>
      <c r="C32">
        <v>0.45833333333333331</v>
      </c>
      <c r="D32">
        <v>1.916666666666667</v>
      </c>
      <c r="E32">
        <v>13.29166666666667</v>
      </c>
      <c r="F32">
        <v>60.208333333333329</v>
      </c>
      <c r="G32">
        <v>21.958333333333329</v>
      </c>
      <c r="H32">
        <v>2.166666666666667</v>
      </c>
      <c r="I32">
        <v>0</v>
      </c>
      <c r="J32">
        <v>0</v>
      </c>
      <c r="K32">
        <v>0</v>
      </c>
      <c r="L32">
        <v>83.704788208832269</v>
      </c>
      <c r="M32">
        <v>7.4159815967381766</v>
      </c>
      <c r="N32">
        <v>8.0871784224264545</v>
      </c>
      <c r="O32">
        <v>7.6737889457273702</v>
      </c>
      <c r="P32">
        <v>6.7835252378531674</v>
      </c>
      <c r="Q32">
        <v>15.089770542465549</v>
      </c>
      <c r="R32">
        <v>10.55550422712013</v>
      </c>
      <c r="S32" t="s">
        <v>26</v>
      </c>
      <c r="T32" t="s">
        <v>27</v>
      </c>
      <c r="U32">
        <v>1024</v>
      </c>
      <c r="V32">
        <v>1024</v>
      </c>
      <c r="W32">
        <v>2400</v>
      </c>
      <c r="X32">
        <v>31</v>
      </c>
      <c r="Y32" t="s">
        <v>58</v>
      </c>
      <c r="Z32">
        <v>17.78451323509216</v>
      </c>
    </row>
    <row r="33" spans="1:26" x14ac:dyDescent="0.3">
      <c r="A33">
        <v>0</v>
      </c>
      <c r="B33">
        <v>4.1666666666666671E-2</v>
      </c>
      <c r="C33">
        <v>1.291666666666667</v>
      </c>
      <c r="D33">
        <v>2.875</v>
      </c>
      <c r="E33">
        <v>11.20833333333333</v>
      </c>
      <c r="F33">
        <v>63.625</v>
      </c>
      <c r="G33">
        <v>18.583333333333329</v>
      </c>
      <c r="H33">
        <v>2.375</v>
      </c>
      <c r="I33">
        <v>0</v>
      </c>
      <c r="J33">
        <v>0</v>
      </c>
      <c r="K33">
        <v>0</v>
      </c>
      <c r="L33">
        <v>64.653558855807432</v>
      </c>
      <c r="M33">
        <v>8.2781557450158001</v>
      </c>
      <c r="N33">
        <v>10.55194406622895</v>
      </c>
      <c r="O33">
        <v>7.2934468600884124</v>
      </c>
      <c r="P33">
        <v>7.0104837934917494</v>
      </c>
      <c r="Q33">
        <v>15.571602605104211</v>
      </c>
      <c r="R33">
        <v>12.66848083219274</v>
      </c>
      <c r="S33" t="s">
        <v>26</v>
      </c>
      <c r="T33" t="s">
        <v>27</v>
      </c>
      <c r="U33">
        <v>1024</v>
      </c>
      <c r="V33">
        <v>1024</v>
      </c>
      <c r="W33">
        <v>2400</v>
      </c>
      <c r="X33">
        <v>32</v>
      </c>
      <c r="Y33" t="s">
        <v>59</v>
      </c>
      <c r="Z33">
        <v>17.817519426345829</v>
      </c>
    </row>
    <row r="34" spans="1:26" x14ac:dyDescent="0.3">
      <c r="A34">
        <v>0</v>
      </c>
      <c r="B34">
        <v>0</v>
      </c>
      <c r="C34">
        <v>0.41666666666666669</v>
      </c>
      <c r="D34">
        <v>4.791666666666667</v>
      </c>
      <c r="E34">
        <v>12.5</v>
      </c>
      <c r="F34">
        <v>59.125000000000007</v>
      </c>
      <c r="G34">
        <v>19.416666666666661</v>
      </c>
      <c r="H34">
        <v>3.75</v>
      </c>
      <c r="I34">
        <v>0</v>
      </c>
      <c r="J34">
        <v>0</v>
      </c>
      <c r="K34">
        <v>0</v>
      </c>
      <c r="L34">
        <v>-823.9320299792937</v>
      </c>
      <c r="M34">
        <v>8.739434642844973</v>
      </c>
      <c r="N34">
        <v>9.3928140645060001</v>
      </c>
      <c r="O34">
        <v>8.0464229561897493</v>
      </c>
      <c r="P34">
        <v>8.1497784828050168</v>
      </c>
      <c r="Q34">
        <v>16.785857599034721</v>
      </c>
      <c r="R34">
        <v>12.43558785780445</v>
      </c>
      <c r="S34" t="s">
        <v>26</v>
      </c>
      <c r="T34" t="s">
        <v>27</v>
      </c>
      <c r="U34">
        <v>1024</v>
      </c>
      <c r="V34">
        <v>1024</v>
      </c>
      <c r="W34">
        <v>2400</v>
      </c>
      <c r="X34">
        <v>33</v>
      </c>
      <c r="Y34" t="s">
        <v>60</v>
      </c>
      <c r="Z34">
        <v>17.813387870788571</v>
      </c>
    </row>
    <row r="35" spans="1:26" x14ac:dyDescent="0.3">
      <c r="A35">
        <v>0</v>
      </c>
      <c r="B35">
        <v>0</v>
      </c>
      <c r="C35">
        <v>0.33333333333333343</v>
      </c>
      <c r="D35">
        <v>2.5</v>
      </c>
      <c r="E35">
        <v>12.125</v>
      </c>
      <c r="F35">
        <v>67.625</v>
      </c>
      <c r="G35">
        <v>15.41666666666667</v>
      </c>
      <c r="H35">
        <v>2</v>
      </c>
      <c r="I35">
        <v>0</v>
      </c>
      <c r="J35">
        <v>0</v>
      </c>
      <c r="K35">
        <v>0</v>
      </c>
      <c r="L35">
        <v>92.090673334418057</v>
      </c>
      <c r="M35">
        <v>6.3781574973543753</v>
      </c>
      <c r="N35">
        <v>7.7522771408936482</v>
      </c>
      <c r="O35">
        <v>6.4964013981077242</v>
      </c>
      <c r="P35">
        <v>6.8639427385185563</v>
      </c>
      <c r="Q35">
        <v>12.8745588954621</v>
      </c>
      <c r="R35">
        <v>10.354299145132121</v>
      </c>
      <c r="S35" t="s">
        <v>26</v>
      </c>
      <c r="T35" t="s">
        <v>27</v>
      </c>
      <c r="U35">
        <v>1024</v>
      </c>
      <c r="V35">
        <v>1024</v>
      </c>
      <c r="W35">
        <v>2400</v>
      </c>
      <c r="X35">
        <v>34</v>
      </c>
      <c r="Y35" t="s">
        <v>61</v>
      </c>
      <c r="Z35">
        <v>17.826162576675419</v>
      </c>
    </row>
    <row r="36" spans="1:26" x14ac:dyDescent="0.3">
      <c r="A36">
        <v>0</v>
      </c>
      <c r="B36">
        <v>4.1666666666666671E-2</v>
      </c>
      <c r="C36">
        <v>0.83333333333333337</v>
      </c>
      <c r="D36">
        <v>1.75</v>
      </c>
      <c r="E36">
        <v>15.79166666666667</v>
      </c>
      <c r="F36">
        <v>60.666666666666671</v>
      </c>
      <c r="G36">
        <v>15.45833333333333</v>
      </c>
      <c r="H36">
        <v>5.458333333333333</v>
      </c>
      <c r="I36">
        <v>0</v>
      </c>
      <c r="J36">
        <v>0</v>
      </c>
      <c r="K36">
        <v>0</v>
      </c>
      <c r="L36">
        <v>-1140.903427696639</v>
      </c>
      <c r="M36">
        <v>6.8193845694844599</v>
      </c>
      <c r="N36">
        <v>8.1879284237929753</v>
      </c>
      <c r="O36">
        <v>9.3794989481450202</v>
      </c>
      <c r="P36">
        <v>8.8196825164610555</v>
      </c>
      <c r="Q36">
        <v>16.198883517629479</v>
      </c>
      <c r="R36">
        <v>12.0344909142151</v>
      </c>
      <c r="S36" t="s">
        <v>26</v>
      </c>
      <c r="T36" t="s">
        <v>27</v>
      </c>
      <c r="U36">
        <v>1024</v>
      </c>
      <c r="V36">
        <v>1024</v>
      </c>
      <c r="W36">
        <v>2400</v>
      </c>
      <c r="X36">
        <v>35</v>
      </c>
      <c r="Y36" t="s">
        <v>62</v>
      </c>
      <c r="Z36">
        <v>17.65154242515564</v>
      </c>
    </row>
    <row r="37" spans="1:26" x14ac:dyDescent="0.3">
      <c r="A37">
        <v>0</v>
      </c>
      <c r="B37">
        <v>0</v>
      </c>
      <c r="C37">
        <v>1.125</v>
      </c>
      <c r="D37">
        <v>3.916666666666667</v>
      </c>
      <c r="E37">
        <v>14.20833333333333</v>
      </c>
      <c r="F37">
        <v>57.166666666666657</v>
      </c>
      <c r="G37">
        <v>16.958333333333329</v>
      </c>
      <c r="H37">
        <v>6.625</v>
      </c>
      <c r="I37">
        <v>0</v>
      </c>
      <c r="J37">
        <v>0</v>
      </c>
      <c r="K37">
        <v>0</v>
      </c>
      <c r="L37">
        <v>-486.53615637383132</v>
      </c>
      <c r="M37">
        <v>9.2100401036799759</v>
      </c>
      <c r="N37">
        <v>9.9009891909392458</v>
      </c>
      <c r="O37">
        <v>9.6529301318284482</v>
      </c>
      <c r="P37">
        <v>10.62142625226411</v>
      </c>
      <c r="Q37">
        <v>18.862970235508421</v>
      </c>
      <c r="R37">
        <v>14.52047804279807</v>
      </c>
      <c r="S37" t="s">
        <v>26</v>
      </c>
      <c r="T37" t="s">
        <v>27</v>
      </c>
      <c r="U37">
        <v>1024</v>
      </c>
      <c r="V37">
        <v>1024</v>
      </c>
      <c r="W37">
        <v>2400</v>
      </c>
      <c r="X37">
        <v>36</v>
      </c>
      <c r="Y37" t="s">
        <v>63</v>
      </c>
      <c r="Z37">
        <v>17.829488277435299</v>
      </c>
    </row>
    <row r="38" spans="1:26" x14ac:dyDescent="0.3">
      <c r="A38">
        <v>0</v>
      </c>
      <c r="B38">
        <v>0.20833333333333329</v>
      </c>
      <c r="C38">
        <v>0.625</v>
      </c>
      <c r="D38">
        <v>2</v>
      </c>
      <c r="E38">
        <v>11</v>
      </c>
      <c r="F38">
        <v>64.958333333333329</v>
      </c>
      <c r="G38">
        <v>15.5</v>
      </c>
      <c r="H38">
        <v>5.708333333333333</v>
      </c>
      <c r="I38">
        <v>0</v>
      </c>
      <c r="J38">
        <v>0</v>
      </c>
      <c r="K38">
        <v>0</v>
      </c>
      <c r="L38">
        <v>82.937985045830146</v>
      </c>
      <c r="M38">
        <v>6.8050294865440044</v>
      </c>
      <c r="N38">
        <v>9.2230255324031116</v>
      </c>
      <c r="O38">
        <v>8.2810324806566395</v>
      </c>
      <c r="P38">
        <v>8.5173270459474644</v>
      </c>
      <c r="Q38">
        <v>15.08606196720064</v>
      </c>
      <c r="R38">
        <v>12.55424469966186</v>
      </c>
      <c r="S38" t="s">
        <v>26</v>
      </c>
      <c r="T38" t="s">
        <v>27</v>
      </c>
      <c r="U38">
        <v>1024</v>
      </c>
      <c r="V38">
        <v>1024</v>
      </c>
      <c r="W38">
        <v>2400</v>
      </c>
      <c r="X38">
        <v>37</v>
      </c>
      <c r="Y38" t="s">
        <v>64</v>
      </c>
      <c r="Z38">
        <v>17.722455739974979</v>
      </c>
    </row>
    <row r="39" spans="1:26" x14ac:dyDescent="0.3">
      <c r="A39">
        <v>0</v>
      </c>
      <c r="B39">
        <v>0.16666666666666671</v>
      </c>
      <c r="C39">
        <v>0.25</v>
      </c>
      <c r="D39">
        <v>3.125</v>
      </c>
      <c r="E39">
        <v>14.83333333333333</v>
      </c>
      <c r="F39">
        <v>62.333333333333329</v>
      </c>
      <c r="G39">
        <v>15.20833333333333</v>
      </c>
      <c r="H39">
        <v>4.083333333333333</v>
      </c>
      <c r="I39">
        <v>0</v>
      </c>
      <c r="J39">
        <v>0</v>
      </c>
      <c r="K39">
        <v>0</v>
      </c>
      <c r="L39">
        <v>38.765403012301931</v>
      </c>
      <c r="M39">
        <v>8.2859614275954279</v>
      </c>
      <c r="N39">
        <v>8.8036707836572941</v>
      </c>
      <c r="O39">
        <v>7.1101120614216349</v>
      </c>
      <c r="P39">
        <v>7.6787183390104889</v>
      </c>
      <c r="Q39">
        <v>15.396073489017059</v>
      </c>
      <c r="R39">
        <v>11.68192341170225</v>
      </c>
      <c r="S39" t="s">
        <v>26</v>
      </c>
      <c r="T39" t="s">
        <v>27</v>
      </c>
      <c r="U39">
        <v>1024</v>
      </c>
      <c r="V39">
        <v>1024</v>
      </c>
      <c r="W39">
        <v>2400</v>
      </c>
      <c r="X39">
        <v>38</v>
      </c>
      <c r="Y39" t="s">
        <v>65</v>
      </c>
      <c r="Z39">
        <v>17.85683178901672</v>
      </c>
    </row>
    <row r="40" spans="1:26" x14ac:dyDescent="0.3">
      <c r="A40">
        <v>0</v>
      </c>
      <c r="B40">
        <v>0</v>
      </c>
      <c r="C40">
        <v>0.45833333333333331</v>
      </c>
      <c r="D40">
        <v>3.666666666666667</v>
      </c>
      <c r="E40">
        <v>16.75</v>
      </c>
      <c r="F40">
        <v>60.666666666666671</v>
      </c>
      <c r="G40">
        <v>14.70833333333333</v>
      </c>
      <c r="H40">
        <v>3.75</v>
      </c>
      <c r="I40">
        <v>0</v>
      </c>
      <c r="J40">
        <v>0</v>
      </c>
      <c r="K40">
        <v>0</v>
      </c>
      <c r="L40">
        <v>43.367922181175352</v>
      </c>
      <c r="M40">
        <v>9.3087600971114597</v>
      </c>
      <c r="N40">
        <v>9.1411109179354533</v>
      </c>
      <c r="O40">
        <v>7.2937767422920894</v>
      </c>
      <c r="P40">
        <v>8.2752737548271895</v>
      </c>
      <c r="Q40">
        <v>16.602536839403552</v>
      </c>
      <c r="R40">
        <v>12.330452730185151</v>
      </c>
      <c r="S40" t="s">
        <v>26</v>
      </c>
      <c r="T40" t="s">
        <v>27</v>
      </c>
      <c r="U40">
        <v>1024</v>
      </c>
      <c r="V40">
        <v>1024</v>
      </c>
      <c r="W40">
        <v>2400</v>
      </c>
      <c r="X40">
        <v>39</v>
      </c>
      <c r="Y40" t="s">
        <v>66</v>
      </c>
      <c r="Z40">
        <v>17.622865915298458</v>
      </c>
    </row>
    <row r="41" spans="1:26" x14ac:dyDescent="0.3">
      <c r="A41">
        <v>0</v>
      </c>
      <c r="B41">
        <v>0</v>
      </c>
      <c r="C41">
        <v>0.45833333333333331</v>
      </c>
      <c r="D41">
        <v>6.833333333333333</v>
      </c>
      <c r="E41">
        <v>12.29166666666667</v>
      </c>
      <c r="F41">
        <v>56.999999999999993</v>
      </c>
      <c r="G41">
        <v>19.208333333333329</v>
      </c>
      <c r="H41">
        <v>4.208333333333333</v>
      </c>
      <c r="I41">
        <v>0</v>
      </c>
      <c r="J41">
        <v>0</v>
      </c>
      <c r="K41">
        <v>0</v>
      </c>
      <c r="L41">
        <v>115.1904987708408</v>
      </c>
      <c r="M41">
        <v>9.8366860521949349</v>
      </c>
      <c r="N41">
        <v>10.390340739197329</v>
      </c>
      <c r="O41">
        <v>8.7224319479165615</v>
      </c>
      <c r="P41">
        <v>8.4387458275291056</v>
      </c>
      <c r="Q41">
        <v>18.5591180001115</v>
      </c>
      <c r="R41">
        <v>13.385500058580689</v>
      </c>
      <c r="S41" t="s">
        <v>26</v>
      </c>
      <c r="T41" t="s">
        <v>27</v>
      </c>
      <c r="U41">
        <v>1024</v>
      </c>
      <c r="V41">
        <v>1024</v>
      </c>
      <c r="W41">
        <v>2400</v>
      </c>
      <c r="X41">
        <v>40</v>
      </c>
      <c r="Y41" t="s">
        <v>67</v>
      </c>
      <c r="Z41">
        <v>17.728448867797852</v>
      </c>
    </row>
    <row r="42" spans="1:26" x14ac:dyDescent="0.3">
      <c r="A42">
        <v>0</v>
      </c>
      <c r="B42">
        <v>0</v>
      </c>
      <c r="C42">
        <v>0.87500000000000011</v>
      </c>
      <c r="D42">
        <v>4.291666666666667</v>
      </c>
      <c r="E42">
        <v>17.458333333333339</v>
      </c>
      <c r="F42">
        <v>55.458333333333329</v>
      </c>
      <c r="G42">
        <v>15.16666666666667</v>
      </c>
      <c r="H42">
        <v>6.75</v>
      </c>
      <c r="I42">
        <v>0</v>
      </c>
      <c r="J42">
        <v>0</v>
      </c>
      <c r="K42">
        <v>0</v>
      </c>
      <c r="L42">
        <v>82.158094781480258</v>
      </c>
      <c r="M42">
        <v>9.443028962469997</v>
      </c>
      <c r="N42">
        <v>9.6696297122904902</v>
      </c>
      <c r="O42">
        <v>8.9368484977211562</v>
      </c>
      <c r="P42">
        <v>8.833870539040273</v>
      </c>
      <c r="Q42">
        <v>18.37987746019115</v>
      </c>
      <c r="R42">
        <v>13.097290081285321</v>
      </c>
      <c r="S42" t="s">
        <v>26</v>
      </c>
      <c r="T42" t="s">
        <v>27</v>
      </c>
      <c r="U42">
        <v>1024</v>
      </c>
      <c r="V42">
        <v>1024</v>
      </c>
      <c r="W42">
        <v>2400</v>
      </c>
      <c r="X42">
        <v>41</v>
      </c>
      <c r="Y42" t="s">
        <v>68</v>
      </c>
      <c r="Z42">
        <v>17.647440195083622</v>
      </c>
    </row>
    <row r="43" spans="1:26" x14ac:dyDescent="0.3">
      <c r="A43">
        <v>0.25</v>
      </c>
      <c r="B43">
        <v>0.41666666666666669</v>
      </c>
      <c r="C43">
        <v>2.416666666666667</v>
      </c>
      <c r="D43">
        <v>6.4166666666666661</v>
      </c>
      <c r="E43">
        <v>17.291666666666671</v>
      </c>
      <c r="F43">
        <v>46.416666666666657</v>
      </c>
      <c r="G43">
        <v>18.125</v>
      </c>
      <c r="H43">
        <v>8.6666666666666679</v>
      </c>
      <c r="I43">
        <v>0</v>
      </c>
      <c r="J43">
        <v>0</v>
      </c>
      <c r="K43">
        <v>0</v>
      </c>
      <c r="L43">
        <v>-591.6037273495574</v>
      </c>
      <c r="M43">
        <v>13.94766301170978</v>
      </c>
      <c r="N43">
        <v>15.01314664263572</v>
      </c>
      <c r="O43">
        <v>10.89070382264282</v>
      </c>
      <c r="P43">
        <v>10.28217807378647</v>
      </c>
      <c r="Q43">
        <v>24.838366834352609</v>
      </c>
      <c r="R43">
        <v>18.19664139489316</v>
      </c>
      <c r="S43" t="s">
        <v>26</v>
      </c>
      <c r="T43" t="s">
        <v>27</v>
      </c>
      <c r="U43">
        <v>1024</v>
      </c>
      <c r="V43">
        <v>1024</v>
      </c>
      <c r="W43">
        <v>2400</v>
      </c>
      <c r="X43">
        <v>42</v>
      </c>
      <c r="Y43" t="s">
        <v>69</v>
      </c>
      <c r="Z43">
        <v>17.73488974571228</v>
      </c>
    </row>
    <row r="44" spans="1:26" x14ac:dyDescent="0.3">
      <c r="A44">
        <v>0</v>
      </c>
      <c r="B44">
        <v>0</v>
      </c>
      <c r="C44">
        <v>0.87500000000000011</v>
      </c>
      <c r="D44">
        <v>5</v>
      </c>
      <c r="E44">
        <v>14.375</v>
      </c>
      <c r="F44">
        <v>53.666666666666657</v>
      </c>
      <c r="G44">
        <v>20.375</v>
      </c>
      <c r="H44">
        <v>5.708333333333333</v>
      </c>
      <c r="I44">
        <v>0</v>
      </c>
      <c r="J44">
        <v>0</v>
      </c>
      <c r="K44">
        <v>0</v>
      </c>
      <c r="L44">
        <v>117.9433682828322</v>
      </c>
      <c r="M44">
        <v>10.144314817905689</v>
      </c>
      <c r="N44">
        <v>10.28253807977562</v>
      </c>
      <c r="O44">
        <v>9.5520311638027113</v>
      </c>
      <c r="P44">
        <v>9.7875703138959196</v>
      </c>
      <c r="Q44">
        <v>19.696345981708401</v>
      </c>
      <c r="R44">
        <v>14.19602486654248</v>
      </c>
      <c r="S44" t="s">
        <v>26</v>
      </c>
      <c r="T44" t="s">
        <v>27</v>
      </c>
      <c r="U44">
        <v>1024</v>
      </c>
      <c r="V44">
        <v>1024</v>
      </c>
      <c r="W44">
        <v>2400</v>
      </c>
      <c r="X44">
        <v>43</v>
      </c>
      <c r="Y44" t="s">
        <v>70</v>
      </c>
      <c r="Z44">
        <v>17.76804161071777</v>
      </c>
    </row>
    <row r="45" spans="1:26" x14ac:dyDescent="0.3">
      <c r="A45">
        <v>0</v>
      </c>
      <c r="B45">
        <v>1.416666666666667</v>
      </c>
      <c r="C45">
        <v>1.125</v>
      </c>
      <c r="D45">
        <v>3.083333333333333</v>
      </c>
      <c r="E45">
        <v>14.75</v>
      </c>
      <c r="F45">
        <v>61.291666666666657</v>
      </c>
      <c r="G45">
        <v>17.583333333333339</v>
      </c>
      <c r="H45">
        <v>0.75</v>
      </c>
      <c r="I45">
        <v>0</v>
      </c>
      <c r="J45">
        <v>0</v>
      </c>
      <c r="K45">
        <v>0</v>
      </c>
      <c r="L45">
        <v>67.076372406394512</v>
      </c>
      <c r="M45">
        <v>10.796109590846781</v>
      </c>
      <c r="N45">
        <v>14.649131941979331</v>
      </c>
      <c r="O45">
        <v>6.4942959254022101</v>
      </c>
      <c r="P45">
        <v>6.3041284250697647</v>
      </c>
      <c r="Q45">
        <v>17.290405516248988</v>
      </c>
      <c r="R45">
        <v>15.948012473449211</v>
      </c>
      <c r="S45" t="s">
        <v>26</v>
      </c>
      <c r="T45" t="s">
        <v>27</v>
      </c>
      <c r="U45">
        <v>1024</v>
      </c>
      <c r="V45">
        <v>1024</v>
      </c>
      <c r="W45">
        <v>2400</v>
      </c>
      <c r="X45">
        <v>44</v>
      </c>
      <c r="Y45" t="s">
        <v>71</v>
      </c>
      <c r="Z45">
        <v>18.089203834533691</v>
      </c>
    </row>
    <row r="46" spans="1:26" x14ac:dyDescent="0.3">
      <c r="A46">
        <v>0</v>
      </c>
      <c r="B46">
        <v>0</v>
      </c>
      <c r="C46">
        <v>0.375</v>
      </c>
      <c r="D46">
        <v>3.416666666666667</v>
      </c>
      <c r="E46">
        <v>13.54166666666667</v>
      </c>
      <c r="F46">
        <v>57.041666666666671</v>
      </c>
      <c r="G46">
        <v>22.958333333333329</v>
      </c>
      <c r="H46">
        <v>2.666666666666667</v>
      </c>
      <c r="I46">
        <v>0</v>
      </c>
      <c r="J46">
        <v>0</v>
      </c>
      <c r="K46">
        <v>0</v>
      </c>
      <c r="L46">
        <v>115.0931290221704</v>
      </c>
      <c r="M46">
        <v>8.6681646662416618</v>
      </c>
      <c r="N46">
        <v>8.8590464157058815</v>
      </c>
      <c r="O46">
        <v>8.33552439774658</v>
      </c>
      <c r="P46">
        <v>7.4048448034965046</v>
      </c>
      <c r="Q46">
        <v>17.00368906398824</v>
      </c>
      <c r="R46">
        <v>11.546186814680439</v>
      </c>
      <c r="S46" t="s">
        <v>26</v>
      </c>
      <c r="T46" t="s">
        <v>27</v>
      </c>
      <c r="U46">
        <v>1024</v>
      </c>
      <c r="V46">
        <v>1024</v>
      </c>
      <c r="W46">
        <v>2400</v>
      </c>
      <c r="X46">
        <v>45</v>
      </c>
      <c r="Y46" t="s">
        <v>72</v>
      </c>
      <c r="Z46">
        <v>18.002081632614139</v>
      </c>
    </row>
    <row r="47" spans="1:26" x14ac:dyDescent="0.3">
      <c r="A47">
        <v>0</v>
      </c>
      <c r="B47">
        <v>0.125</v>
      </c>
      <c r="C47">
        <v>2</v>
      </c>
      <c r="D47">
        <v>3.75</v>
      </c>
      <c r="E47">
        <v>13.91666666666667</v>
      </c>
      <c r="F47">
        <v>53.208333333333343</v>
      </c>
      <c r="G47">
        <v>18.208333333333339</v>
      </c>
      <c r="H47">
        <v>8.7916666666666679</v>
      </c>
      <c r="I47">
        <v>0</v>
      </c>
      <c r="J47">
        <v>0</v>
      </c>
      <c r="K47">
        <v>0</v>
      </c>
      <c r="L47">
        <v>115.1100616157112</v>
      </c>
      <c r="M47">
        <v>10.80050321628617</v>
      </c>
      <c r="N47">
        <v>11.767599054717151</v>
      </c>
      <c r="O47">
        <v>10.77176162129388</v>
      </c>
      <c r="P47">
        <v>11.153293037370529</v>
      </c>
      <c r="Q47">
        <v>21.57226483758005</v>
      </c>
      <c r="R47">
        <v>16.213338122978801</v>
      </c>
      <c r="S47" t="s">
        <v>26</v>
      </c>
      <c r="T47" t="s">
        <v>27</v>
      </c>
      <c r="U47">
        <v>1024</v>
      </c>
      <c r="V47">
        <v>1024</v>
      </c>
      <c r="W47">
        <v>2400</v>
      </c>
      <c r="X47">
        <v>46</v>
      </c>
      <c r="Y47" t="s">
        <v>73</v>
      </c>
      <c r="Z47">
        <v>17.648698329925541</v>
      </c>
    </row>
    <row r="48" spans="1:26" x14ac:dyDescent="0.3">
      <c r="A48">
        <v>0</v>
      </c>
      <c r="B48">
        <v>0.20833333333333329</v>
      </c>
      <c r="C48">
        <v>0.66666666666666674</v>
      </c>
      <c r="D48">
        <v>3.625</v>
      </c>
      <c r="E48">
        <v>16.416666666666661</v>
      </c>
      <c r="F48">
        <v>57.999999999999993</v>
      </c>
      <c r="G48">
        <v>20.5</v>
      </c>
      <c r="H48">
        <v>0.58333333333333337</v>
      </c>
      <c r="I48">
        <v>0</v>
      </c>
      <c r="J48">
        <v>0</v>
      </c>
      <c r="K48">
        <v>0</v>
      </c>
      <c r="L48">
        <v>125.3597327815387</v>
      </c>
      <c r="M48">
        <v>9.7289611304900614</v>
      </c>
      <c r="N48">
        <v>10.306180316244991</v>
      </c>
      <c r="O48">
        <v>7.0933173954391329</v>
      </c>
      <c r="P48">
        <v>6.5067165794190052</v>
      </c>
      <c r="Q48">
        <v>16.822278525929189</v>
      </c>
      <c r="R48">
        <v>12.18830231639509</v>
      </c>
      <c r="S48" t="s">
        <v>26</v>
      </c>
      <c r="T48" t="s">
        <v>27</v>
      </c>
      <c r="U48">
        <v>1024</v>
      </c>
      <c r="V48">
        <v>1024</v>
      </c>
      <c r="W48">
        <v>2400</v>
      </c>
      <c r="X48">
        <v>47</v>
      </c>
      <c r="Y48" t="s">
        <v>74</v>
      </c>
      <c r="Z48">
        <v>17.833447694778439</v>
      </c>
    </row>
    <row r="49" spans="1:26" x14ac:dyDescent="0.3">
      <c r="A49">
        <v>0</v>
      </c>
      <c r="B49">
        <v>0</v>
      </c>
      <c r="C49">
        <v>0.20833333333333329</v>
      </c>
      <c r="D49">
        <v>3.416666666666667</v>
      </c>
      <c r="E49">
        <v>12.41666666666667</v>
      </c>
      <c r="F49">
        <v>61.625</v>
      </c>
      <c r="G49">
        <v>18.166666666666671</v>
      </c>
      <c r="H49">
        <v>4.1666666666666661</v>
      </c>
      <c r="I49">
        <v>0</v>
      </c>
      <c r="J49">
        <v>0</v>
      </c>
      <c r="K49">
        <v>0</v>
      </c>
      <c r="L49">
        <v>125.3690462617575</v>
      </c>
      <c r="M49">
        <v>7.1344576934691366</v>
      </c>
      <c r="N49">
        <v>8.5283148437523835</v>
      </c>
      <c r="O49">
        <v>8.3160227415825485</v>
      </c>
      <c r="P49">
        <v>8.5331963941850226</v>
      </c>
      <c r="Q49">
        <v>15.450480435051681</v>
      </c>
      <c r="R49">
        <v>12.06431078743827</v>
      </c>
      <c r="S49" t="s">
        <v>26</v>
      </c>
      <c r="T49" t="s">
        <v>27</v>
      </c>
      <c r="U49">
        <v>1024</v>
      </c>
      <c r="V49">
        <v>1024</v>
      </c>
      <c r="W49">
        <v>2400</v>
      </c>
      <c r="X49">
        <v>48</v>
      </c>
      <c r="Y49" t="s">
        <v>75</v>
      </c>
      <c r="Z49">
        <v>17.898260116577148</v>
      </c>
    </row>
    <row r="50" spans="1:26" x14ac:dyDescent="0.3">
      <c r="A50">
        <v>0</v>
      </c>
      <c r="B50">
        <v>0</v>
      </c>
      <c r="C50">
        <v>1</v>
      </c>
      <c r="D50">
        <v>4.3333333333333339</v>
      </c>
      <c r="E50">
        <v>13.83333333333333</v>
      </c>
      <c r="F50">
        <v>57.916666666666671</v>
      </c>
      <c r="G50">
        <v>20.875</v>
      </c>
      <c r="H50">
        <v>2.041666666666667</v>
      </c>
      <c r="I50">
        <v>0</v>
      </c>
      <c r="J50">
        <v>0</v>
      </c>
      <c r="K50">
        <v>0</v>
      </c>
      <c r="L50">
        <v>-475.93615601318902</v>
      </c>
      <c r="M50">
        <v>9.650139627705915</v>
      </c>
      <c r="N50">
        <v>10.32529873713468</v>
      </c>
      <c r="O50">
        <v>7.8063119879585274</v>
      </c>
      <c r="P50">
        <v>7.1354007120411724</v>
      </c>
      <c r="Q50">
        <v>17.456451615664442</v>
      </c>
      <c r="R50">
        <v>12.550925755993971</v>
      </c>
      <c r="S50" t="s">
        <v>26</v>
      </c>
      <c r="T50" t="s">
        <v>27</v>
      </c>
      <c r="U50">
        <v>1024</v>
      </c>
      <c r="V50">
        <v>1024</v>
      </c>
      <c r="W50">
        <v>2400</v>
      </c>
      <c r="X50">
        <v>49</v>
      </c>
      <c r="Y50" t="s">
        <v>76</v>
      </c>
      <c r="Z50">
        <v>17.896519422531131</v>
      </c>
    </row>
    <row r="51" spans="1:26" x14ac:dyDescent="0.3">
      <c r="A51">
        <v>0</v>
      </c>
      <c r="B51">
        <v>0</v>
      </c>
      <c r="C51">
        <v>2.583333333333333</v>
      </c>
      <c r="D51">
        <v>4.791666666666667</v>
      </c>
      <c r="E51">
        <v>16.25</v>
      </c>
      <c r="F51">
        <v>50.458333333333343</v>
      </c>
      <c r="G51">
        <v>20.833333333333339</v>
      </c>
      <c r="H51">
        <v>5.083333333333333</v>
      </c>
      <c r="I51">
        <v>0</v>
      </c>
      <c r="J51">
        <v>0</v>
      </c>
      <c r="K51">
        <v>0</v>
      </c>
      <c r="L51">
        <v>-68.8309943573081</v>
      </c>
      <c r="M51">
        <v>11.263963168015991</v>
      </c>
      <c r="N51">
        <v>12.05635245939188</v>
      </c>
      <c r="O51">
        <v>9.4574018529997108</v>
      </c>
      <c r="P51">
        <v>8.260974993056724</v>
      </c>
      <c r="Q51">
        <v>20.7213650210157</v>
      </c>
      <c r="R51">
        <v>14.615038229884769</v>
      </c>
      <c r="S51" t="s">
        <v>26</v>
      </c>
      <c r="T51" t="s">
        <v>27</v>
      </c>
      <c r="U51">
        <v>1024</v>
      </c>
      <c r="V51">
        <v>1024</v>
      </c>
      <c r="W51">
        <v>2400</v>
      </c>
      <c r="X51">
        <v>50</v>
      </c>
      <c r="Y51" t="s">
        <v>77</v>
      </c>
      <c r="Z51">
        <v>17.946498394012451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6"/>
  <sheetViews>
    <sheetView tabSelected="1" topLeftCell="E1" workbookViewId="0">
      <selection activeCell="K28" sqref="K28"/>
    </sheetView>
  </sheetViews>
  <sheetFormatPr defaultRowHeight="14.4" x14ac:dyDescent="0.3"/>
  <cols>
    <col min="1" max="1" width="9.109375" bestFit="1" customWidth="1"/>
    <col min="2" max="2" width="16" bestFit="1" customWidth="1"/>
    <col min="3" max="3" width="16.21875" bestFit="1" customWidth="1"/>
    <col min="4" max="4" width="15" bestFit="1" customWidth="1"/>
    <col min="5" max="5" width="15.21875" bestFit="1" customWidth="1"/>
    <col min="6" max="6" width="16.21875" bestFit="1" customWidth="1"/>
    <col min="7" max="7" width="16.44140625" bestFit="1" customWidth="1"/>
    <col min="8" max="8" width="16.5546875" bestFit="1" customWidth="1"/>
    <col min="9" max="9" width="16.77734375" bestFit="1" customWidth="1"/>
    <col min="10" max="11" width="12" bestFit="1" customWidth="1"/>
    <col min="12" max="12" width="17.44140625" bestFit="1" customWidth="1"/>
    <col min="13" max="13" width="17.6640625" bestFit="1" customWidth="1"/>
    <col min="14" max="15" width="12" bestFit="1" customWidth="1"/>
    <col min="16" max="16" width="17.21875" bestFit="1" customWidth="1"/>
    <col min="17" max="17" width="17.44140625" bestFit="1" customWidth="1"/>
    <col min="18" max="18" width="16.77734375" bestFit="1" customWidth="1"/>
    <col min="19" max="19" width="17" bestFit="1" customWidth="1"/>
    <col min="20" max="20" width="15.5546875" bestFit="1" customWidth="1"/>
    <col min="21" max="21" width="15.77734375" bestFit="1" customWidth="1"/>
    <col min="22" max="22" width="16.5546875" bestFit="1" customWidth="1"/>
    <col min="23" max="23" width="16.77734375" bestFit="1" customWidth="1"/>
    <col min="24" max="24" width="12.6640625" bestFit="1" customWidth="1"/>
    <col min="25" max="25" width="12.33203125" bestFit="1" customWidth="1"/>
    <col min="26" max="26" width="18.44140625" bestFit="1" customWidth="1"/>
    <col min="27" max="27" width="15.33203125" bestFit="1" customWidth="1"/>
    <col min="28" max="28" width="18.77734375" bestFit="1" customWidth="1"/>
    <col min="29" max="29" width="15.6640625" bestFit="1" customWidth="1"/>
    <col min="30" max="30" width="16.21875" bestFit="1" customWidth="1"/>
    <col min="31" max="31" width="13.21875" bestFit="1" customWidth="1"/>
    <col min="32" max="33" width="9.21875" bestFit="1" customWidth="1"/>
    <col min="34" max="34" width="18.6640625" bestFit="1" customWidth="1"/>
    <col min="35" max="35" width="13.88671875" bestFit="1" customWidth="1"/>
    <col min="36" max="36" width="16.109375" bestFit="1" customWidth="1"/>
    <col min="37" max="37" width="12.6640625" bestFit="1" customWidth="1"/>
    <col min="38" max="38" width="17.33203125" bestFit="1" customWidth="1"/>
    <col min="39" max="39" width="18.109375" bestFit="1" customWidth="1"/>
  </cols>
  <sheetData>
    <row r="1" spans="1:39" x14ac:dyDescent="0.3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  <c r="AA1" s="1" t="s">
        <v>104</v>
      </c>
      <c r="AB1" s="1" t="s">
        <v>105</v>
      </c>
      <c r="AC1" s="1" t="s">
        <v>106</v>
      </c>
      <c r="AD1" s="1" t="s">
        <v>107</v>
      </c>
      <c r="AE1" s="1" t="s">
        <v>108</v>
      </c>
      <c r="AF1" s="1" t="s">
        <v>109</v>
      </c>
      <c r="AG1" s="1" t="s">
        <v>110</v>
      </c>
      <c r="AH1" s="1" t="s">
        <v>19</v>
      </c>
      <c r="AI1" s="1" t="s">
        <v>20</v>
      </c>
      <c r="AJ1" s="1" t="s">
        <v>21</v>
      </c>
      <c r="AK1" s="1" t="s">
        <v>22</v>
      </c>
      <c r="AL1" s="1" t="s">
        <v>24</v>
      </c>
      <c r="AM1" s="1" t="s">
        <v>111</v>
      </c>
    </row>
    <row r="2" spans="1:39" x14ac:dyDescent="0.3">
      <c r="A2" t="s">
        <v>112</v>
      </c>
      <c r="B2">
        <v>1.0508333333333331</v>
      </c>
      <c r="C2">
        <v>1.1665539911575951</v>
      </c>
      <c r="D2">
        <v>2.3066666666666671</v>
      </c>
      <c r="E2">
        <v>1.219926208689905</v>
      </c>
      <c r="F2">
        <v>4.7549999999999999</v>
      </c>
      <c r="G2">
        <v>1.370512673659799</v>
      </c>
      <c r="H2">
        <v>6.2350000000000003</v>
      </c>
      <c r="I2">
        <v>1.6077547336104201</v>
      </c>
      <c r="J2">
        <v>13.78833333333333</v>
      </c>
      <c r="K2">
        <v>2.0131343101161669</v>
      </c>
      <c r="L2">
        <v>61.213333333333331</v>
      </c>
      <c r="M2">
        <v>5.5352575336400403</v>
      </c>
      <c r="N2">
        <v>9.0258333333333329</v>
      </c>
      <c r="O2">
        <v>3.097857065084122</v>
      </c>
      <c r="P2">
        <v>1.625</v>
      </c>
      <c r="Q2">
        <v>1.820981115284346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77.502187532680708</v>
      </c>
      <c r="Y2">
        <v>58.448871447975797</v>
      </c>
      <c r="Z2">
        <v>15.92472892733454</v>
      </c>
      <c r="AA2">
        <v>0.6016853101351366</v>
      </c>
      <c r="AB2">
        <v>5.4338358308933161</v>
      </c>
      <c r="AC2">
        <v>0.26368107376117039</v>
      </c>
      <c r="AD2">
        <v>21.35856475822785</v>
      </c>
      <c r="AE2">
        <v>0.60520209743297171</v>
      </c>
      <c r="AF2" t="s">
        <v>26</v>
      </c>
      <c r="AG2">
        <v>50</v>
      </c>
      <c r="AH2" t="s">
        <v>27</v>
      </c>
      <c r="AI2">
        <v>1024</v>
      </c>
      <c r="AJ2">
        <v>1024</v>
      </c>
      <c r="AK2">
        <v>2400</v>
      </c>
      <c r="AL2" t="s">
        <v>113</v>
      </c>
      <c r="AM2" s="2">
        <v>44624</v>
      </c>
    </row>
    <row r="3" spans="1:39" x14ac:dyDescent="0.3">
      <c r="A3" t="s">
        <v>114</v>
      </c>
      <c r="B3">
        <v>1.083333333333333E-2</v>
      </c>
      <c r="C3">
        <v>4.8217959883520567E-2</v>
      </c>
      <c r="D3">
        <v>0.13750000000000001</v>
      </c>
      <c r="E3">
        <v>0.26463003096395138</v>
      </c>
      <c r="F3">
        <v>0.73250000000000004</v>
      </c>
      <c r="G3">
        <v>0.60959414121758315</v>
      </c>
      <c r="H3">
        <v>3.0225</v>
      </c>
      <c r="I3">
        <v>0.97801115057937671</v>
      </c>
      <c r="J3">
        <v>16.717500000000001</v>
      </c>
      <c r="K3">
        <v>2.5740078829779551</v>
      </c>
      <c r="L3">
        <v>67.765000000000001</v>
      </c>
      <c r="M3">
        <v>3.934129906080102</v>
      </c>
      <c r="N3">
        <v>10.72833333333333</v>
      </c>
      <c r="O3">
        <v>2.8896248844424619</v>
      </c>
      <c r="P3">
        <v>0.88583333333333336</v>
      </c>
      <c r="Q3">
        <v>0.99676382537829211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-12.204701889478009</v>
      </c>
      <c r="Y3">
        <v>153.64003701667571</v>
      </c>
      <c r="Z3">
        <v>7.6333871869674352</v>
      </c>
      <c r="AA3">
        <v>0.23295970527306389</v>
      </c>
      <c r="AB3">
        <v>5.5053614263669353</v>
      </c>
      <c r="AC3">
        <v>0.16600436017241119</v>
      </c>
      <c r="AD3">
        <v>13.13874861333437</v>
      </c>
      <c r="AE3">
        <v>0.2075620347310945</v>
      </c>
      <c r="AF3" t="s">
        <v>26</v>
      </c>
      <c r="AG3">
        <v>50</v>
      </c>
      <c r="AH3" t="s">
        <v>27</v>
      </c>
      <c r="AI3">
        <v>1024</v>
      </c>
      <c r="AJ3">
        <v>1024</v>
      </c>
      <c r="AK3">
        <v>2400</v>
      </c>
      <c r="AL3" t="s">
        <v>113</v>
      </c>
      <c r="AM3" s="2">
        <v>44624</v>
      </c>
    </row>
    <row r="4" spans="1:39" x14ac:dyDescent="0.3">
      <c r="A4" t="s">
        <v>115</v>
      </c>
      <c r="B4">
        <v>1.841666666666667</v>
      </c>
      <c r="C4">
        <v>0.96034615594015105</v>
      </c>
      <c r="D4">
        <v>2.875</v>
      </c>
      <c r="E4">
        <v>1.0066741563896719</v>
      </c>
      <c r="F4">
        <v>5.1275000000000004</v>
      </c>
      <c r="G4">
        <v>1.037505634768733</v>
      </c>
      <c r="H4">
        <v>5.5991666666666671</v>
      </c>
      <c r="I4">
        <v>1.0904037327767699</v>
      </c>
      <c r="J4">
        <v>11.38666666666667</v>
      </c>
      <c r="K4">
        <v>1.4516743011584901</v>
      </c>
      <c r="L4">
        <v>54.936666666666667</v>
      </c>
      <c r="M4">
        <v>4.123322513308028</v>
      </c>
      <c r="N4">
        <v>14.50166666666667</v>
      </c>
      <c r="O4">
        <v>3.0229418515151298</v>
      </c>
      <c r="P4">
        <v>3.7316666666666669</v>
      </c>
      <c r="Q4">
        <v>2.067767701001765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-175.66697484069169</v>
      </c>
      <c r="Y4">
        <v>350.81357108772238</v>
      </c>
      <c r="Z4">
        <v>20.865554458691069</v>
      </c>
      <c r="AA4">
        <v>0.4225194657599417</v>
      </c>
      <c r="AB4">
        <v>7.5926463839247376</v>
      </c>
      <c r="AC4">
        <v>0.22855577976114719</v>
      </c>
      <c r="AD4">
        <v>28.45820084261581</v>
      </c>
      <c r="AE4">
        <v>0.40270149522207321</v>
      </c>
      <c r="AF4" t="s">
        <v>26</v>
      </c>
      <c r="AG4">
        <v>50</v>
      </c>
      <c r="AH4" t="s">
        <v>27</v>
      </c>
      <c r="AI4">
        <v>1024</v>
      </c>
      <c r="AJ4">
        <v>1024</v>
      </c>
      <c r="AK4">
        <v>2400</v>
      </c>
      <c r="AL4" t="s">
        <v>113</v>
      </c>
      <c r="AM4" s="2">
        <v>44624</v>
      </c>
    </row>
    <row r="5" spans="1:39" x14ac:dyDescent="0.3">
      <c r="A5" t="s">
        <v>116</v>
      </c>
      <c r="B5">
        <v>2.5083333333333329</v>
      </c>
      <c r="C5">
        <v>1.3601157913892461</v>
      </c>
      <c r="D5">
        <v>4.9874999999999998</v>
      </c>
      <c r="E5">
        <v>1.4184974664617049</v>
      </c>
      <c r="F5">
        <v>9.4591666666666665</v>
      </c>
      <c r="G5">
        <v>1.834579238061312</v>
      </c>
      <c r="H5">
        <v>9.7516666666666669</v>
      </c>
      <c r="I5">
        <v>1.214517951648012</v>
      </c>
      <c r="J5">
        <v>16.035833333333329</v>
      </c>
      <c r="K5">
        <v>2.2533832273689609</v>
      </c>
      <c r="L5">
        <v>40.671666666666667</v>
      </c>
      <c r="M5">
        <v>4.1262035281303753</v>
      </c>
      <c r="N5">
        <v>8.0591666666666661</v>
      </c>
      <c r="O5">
        <v>1.512820541922766</v>
      </c>
      <c r="P5">
        <v>8.0233333333333334</v>
      </c>
      <c r="Q5">
        <v>2.428004719126339</v>
      </c>
      <c r="R5">
        <v>0.5</v>
      </c>
      <c r="S5">
        <v>0.63854373009066123</v>
      </c>
      <c r="T5">
        <v>3.333333333333334E-3</v>
      </c>
      <c r="U5">
        <v>1.6495721976846449E-2</v>
      </c>
      <c r="V5">
        <v>0</v>
      </c>
      <c r="W5">
        <v>0</v>
      </c>
      <c r="X5">
        <v>-123.7817367563912</v>
      </c>
      <c r="Y5">
        <v>452.66346052778829</v>
      </c>
      <c r="Z5">
        <v>25.233383968027869</v>
      </c>
      <c r="AA5">
        <v>0.38526983756332561</v>
      </c>
      <c r="AB5">
        <v>13.087684466753441</v>
      </c>
      <c r="AC5">
        <v>0.31708080937763228</v>
      </c>
      <c r="AD5">
        <v>38.32106843478131</v>
      </c>
      <c r="AE5">
        <v>0.39425546576810278</v>
      </c>
      <c r="AF5" t="s">
        <v>26</v>
      </c>
      <c r="AG5">
        <v>50</v>
      </c>
      <c r="AH5" t="s">
        <v>27</v>
      </c>
      <c r="AI5">
        <v>1024</v>
      </c>
      <c r="AJ5">
        <v>1024</v>
      </c>
      <c r="AK5">
        <v>2400</v>
      </c>
      <c r="AL5" t="s">
        <v>113</v>
      </c>
      <c r="AM5" s="2">
        <v>44624</v>
      </c>
    </row>
    <row r="6" spans="1:39" x14ac:dyDescent="0.3">
      <c r="A6" t="s">
        <v>117</v>
      </c>
      <c r="B6">
        <v>1.666666666666667E-2</v>
      </c>
      <c r="C6">
        <v>6.2429098105366169E-2</v>
      </c>
      <c r="D6">
        <v>0.14583333333333329</v>
      </c>
      <c r="E6">
        <v>0.19835812741609091</v>
      </c>
      <c r="F6">
        <v>0.86583333333333334</v>
      </c>
      <c r="G6">
        <v>0.63152994679282248</v>
      </c>
      <c r="H6">
        <v>3.0966666666666671</v>
      </c>
      <c r="I6">
        <v>0.99229743273442861</v>
      </c>
      <c r="J6">
        <v>12.543333333333329</v>
      </c>
      <c r="K6">
        <v>1.8381769658613201</v>
      </c>
      <c r="L6">
        <v>68.247500000000002</v>
      </c>
      <c r="M6">
        <v>5.7181683857865364</v>
      </c>
      <c r="N6">
        <v>13.7675</v>
      </c>
      <c r="O6">
        <v>3.770334982290672</v>
      </c>
      <c r="P6">
        <v>1.3166666666666671</v>
      </c>
      <c r="Q6">
        <v>1.4376940862764529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9.9237902291215772</v>
      </c>
      <c r="Y6">
        <v>141.89900208002879</v>
      </c>
      <c r="Z6">
        <v>8.2776069866586539</v>
      </c>
      <c r="AA6">
        <v>0.26526717180445758</v>
      </c>
      <c r="AB6">
        <v>5.6320171187242121</v>
      </c>
      <c r="AC6">
        <v>0.16727149972565339</v>
      </c>
      <c r="AD6">
        <v>13.90962410538287</v>
      </c>
      <c r="AE6">
        <v>0.27052557012541051</v>
      </c>
      <c r="AF6" t="s">
        <v>26</v>
      </c>
      <c r="AG6">
        <v>50</v>
      </c>
      <c r="AH6" t="s">
        <v>27</v>
      </c>
      <c r="AI6">
        <v>1024</v>
      </c>
      <c r="AJ6">
        <v>1024</v>
      </c>
      <c r="AK6">
        <v>2400</v>
      </c>
      <c r="AL6" t="s">
        <v>113</v>
      </c>
      <c r="AM6" s="2">
        <v>44624</v>
      </c>
    </row>
    <row r="7" spans="1:39" x14ac:dyDescent="0.3">
      <c r="A7" t="s">
        <v>118</v>
      </c>
      <c r="B7">
        <v>1.2875000000000001</v>
      </c>
      <c r="C7">
        <v>0.90938083206785614</v>
      </c>
      <c r="D7">
        <v>2.9716666666666671</v>
      </c>
      <c r="E7">
        <v>1.202217103404714</v>
      </c>
      <c r="F7">
        <v>5.4033333333333333</v>
      </c>
      <c r="G7">
        <v>1.2800093891379001</v>
      </c>
      <c r="H7">
        <v>6.3341666666666674</v>
      </c>
      <c r="I7">
        <v>1.290513804143453</v>
      </c>
      <c r="J7">
        <v>11.1625</v>
      </c>
      <c r="K7">
        <v>1.6684142623442331</v>
      </c>
      <c r="L7">
        <v>44.639166666666668</v>
      </c>
      <c r="M7">
        <v>5.642710277875814</v>
      </c>
      <c r="N7">
        <v>17.215833333333329</v>
      </c>
      <c r="O7">
        <v>3.219645993448542</v>
      </c>
      <c r="P7">
        <v>10.62166666666667</v>
      </c>
      <c r="Q7">
        <v>3.25025988844025</v>
      </c>
      <c r="R7">
        <v>0.36416666666666669</v>
      </c>
      <c r="S7">
        <v>0.69542612020410299</v>
      </c>
      <c r="T7">
        <v>0</v>
      </c>
      <c r="U7">
        <v>0</v>
      </c>
      <c r="V7">
        <v>0</v>
      </c>
      <c r="W7">
        <v>0</v>
      </c>
      <c r="X7">
        <v>-650.95704056018894</v>
      </c>
      <c r="Y7">
        <v>694.77019809681678</v>
      </c>
      <c r="Z7">
        <v>21.873328299986611</v>
      </c>
      <c r="AA7">
        <v>0.49124254303348752</v>
      </c>
      <c r="AB7">
        <v>12.494245493130951</v>
      </c>
      <c r="AC7">
        <v>0.29807670092117988</v>
      </c>
      <c r="AD7">
        <v>34.367573793117558</v>
      </c>
      <c r="AE7">
        <v>0.47824254526546861</v>
      </c>
      <c r="AF7" t="s">
        <v>26</v>
      </c>
      <c r="AG7">
        <v>50</v>
      </c>
      <c r="AH7" t="s">
        <v>27</v>
      </c>
      <c r="AI7">
        <v>1024</v>
      </c>
      <c r="AJ7">
        <v>1024</v>
      </c>
      <c r="AK7">
        <v>2400</v>
      </c>
      <c r="AL7" t="s">
        <v>113</v>
      </c>
      <c r="AM7" s="2">
        <v>44624</v>
      </c>
    </row>
    <row r="8" spans="1:39" x14ac:dyDescent="0.3">
      <c r="A8" t="s">
        <v>119</v>
      </c>
      <c r="B8">
        <v>3.0308333333333328</v>
      </c>
      <c r="C8">
        <v>1.395774569785488</v>
      </c>
      <c r="D8">
        <v>6.2633333333333336</v>
      </c>
      <c r="E8">
        <v>1.4633523932250121</v>
      </c>
      <c r="F8">
        <v>9.6141666666666659</v>
      </c>
      <c r="G8">
        <v>1.5025207938087459</v>
      </c>
      <c r="H8">
        <v>9.0308333333333337</v>
      </c>
      <c r="I8">
        <v>1.4328509807745451</v>
      </c>
      <c r="J8">
        <v>12.93583333333333</v>
      </c>
      <c r="K8">
        <v>1.434319042884129</v>
      </c>
      <c r="L8">
        <v>38.836666666666673</v>
      </c>
      <c r="M8">
        <v>4.3252872055426366</v>
      </c>
      <c r="N8">
        <v>11.97</v>
      </c>
      <c r="O8">
        <v>2.3147651619769212</v>
      </c>
      <c r="P8">
        <v>8.2383333333333333</v>
      </c>
      <c r="Q8">
        <v>2.3449818569227889</v>
      </c>
      <c r="R8">
        <v>0.08</v>
      </c>
      <c r="S8">
        <v>0.21508449006955549</v>
      </c>
      <c r="T8">
        <v>0</v>
      </c>
      <c r="U8">
        <v>0</v>
      </c>
      <c r="V8">
        <v>0</v>
      </c>
      <c r="W8">
        <v>0</v>
      </c>
      <c r="X8">
        <v>-213.76071603192261</v>
      </c>
      <c r="Y8">
        <v>479.12554353768309</v>
      </c>
      <c r="Z8">
        <v>29.521183902961759</v>
      </c>
      <c r="AA8">
        <v>0.34289685003357678</v>
      </c>
      <c r="AB8">
        <v>11.866953628761999</v>
      </c>
      <c r="AC8">
        <v>0.21463310145119441</v>
      </c>
      <c r="AD8">
        <v>41.388137531723757</v>
      </c>
      <c r="AE8">
        <v>0.35194896278999371</v>
      </c>
      <c r="AF8" t="s">
        <v>26</v>
      </c>
      <c r="AG8">
        <v>50</v>
      </c>
      <c r="AH8" t="s">
        <v>27</v>
      </c>
      <c r="AI8">
        <v>1024</v>
      </c>
      <c r="AJ8">
        <v>1024</v>
      </c>
      <c r="AK8">
        <v>2400</v>
      </c>
      <c r="AL8" t="s">
        <v>113</v>
      </c>
      <c r="AM8" s="2">
        <v>44624</v>
      </c>
    </row>
    <row r="9" spans="1:39" x14ac:dyDescent="0.3">
      <c r="A9" t="s">
        <v>120</v>
      </c>
      <c r="B9">
        <v>3.7158333333333329</v>
      </c>
      <c r="C9">
        <v>13.20597038349857</v>
      </c>
      <c r="D9">
        <v>1.6533333333333331</v>
      </c>
      <c r="E9">
        <v>0.95755440098148059</v>
      </c>
      <c r="F9">
        <v>3.1133333333333328</v>
      </c>
      <c r="G9">
        <v>1.2660265120650911</v>
      </c>
      <c r="H9">
        <v>5.4883333333333333</v>
      </c>
      <c r="I9">
        <v>1.7479750188909069</v>
      </c>
      <c r="J9">
        <v>18.080833333333331</v>
      </c>
      <c r="K9">
        <v>3.6161722012217412</v>
      </c>
      <c r="L9">
        <v>66.022499999999994</v>
      </c>
      <c r="M9">
        <v>10.02003099380336</v>
      </c>
      <c r="N9">
        <v>1.9208333333333329</v>
      </c>
      <c r="O9">
        <v>1.487672559018665</v>
      </c>
      <c r="P9">
        <v>5.0000000000000001E-3</v>
      </c>
      <c r="Q9">
        <v>2.1691508521772141E-2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37.285882620523068</v>
      </c>
      <c r="Y9">
        <v>112.1732598151013</v>
      </c>
      <c r="Z9">
        <v>15.12620627941925</v>
      </c>
      <c r="AA9">
        <v>0.79404314862822478</v>
      </c>
      <c r="AB9">
        <v>2.292058022281017</v>
      </c>
      <c r="AC9">
        <v>0.13167165131334779</v>
      </c>
      <c r="AD9">
        <v>17.418264301700269</v>
      </c>
      <c r="AE9">
        <v>0.78991158220023749</v>
      </c>
      <c r="AF9" t="s">
        <v>26</v>
      </c>
      <c r="AG9">
        <v>50</v>
      </c>
      <c r="AH9" t="s">
        <v>27</v>
      </c>
      <c r="AI9">
        <v>1024</v>
      </c>
      <c r="AJ9">
        <v>1024</v>
      </c>
      <c r="AK9">
        <v>2400</v>
      </c>
      <c r="AL9" t="s">
        <v>113</v>
      </c>
      <c r="AM9" s="2">
        <v>44624</v>
      </c>
    </row>
    <row r="10" spans="1:39" x14ac:dyDescent="0.3">
      <c r="A10" t="s">
        <v>121</v>
      </c>
      <c r="B10">
        <v>39.517499999999998</v>
      </c>
      <c r="C10">
        <v>29.641756398093982</v>
      </c>
      <c r="D10">
        <v>3.1991666666666672</v>
      </c>
      <c r="E10">
        <v>1.053497105261163</v>
      </c>
      <c r="F10">
        <v>2.4858333333333329</v>
      </c>
      <c r="G10">
        <v>1.409536126474499</v>
      </c>
      <c r="H10">
        <v>2.5491666666666668</v>
      </c>
      <c r="I10">
        <v>1.6914335401176479</v>
      </c>
      <c r="J10">
        <v>5.6741666666666664</v>
      </c>
      <c r="K10">
        <v>3.2313336485924928</v>
      </c>
      <c r="L10">
        <v>32.519166666666663</v>
      </c>
      <c r="M10">
        <v>17.00793301048413</v>
      </c>
      <c r="N10">
        <v>9.0708333333333329</v>
      </c>
      <c r="O10">
        <v>5.6089955613713043</v>
      </c>
      <c r="P10">
        <v>4.956666666666667</v>
      </c>
      <c r="Q10">
        <v>4.0427838767268902</v>
      </c>
      <c r="R10">
        <v>2.75E-2</v>
      </c>
      <c r="S10">
        <v>0.1109157153804967</v>
      </c>
      <c r="T10">
        <v>0</v>
      </c>
      <c r="U10">
        <v>0</v>
      </c>
      <c r="V10">
        <v>0</v>
      </c>
      <c r="W10">
        <v>0</v>
      </c>
      <c r="X10">
        <v>-218.61420841580639</v>
      </c>
      <c r="Y10">
        <v>183.93441614528561</v>
      </c>
      <c r="Z10">
        <v>60.931819296412122</v>
      </c>
      <c r="AA10">
        <v>0.87960009556408303</v>
      </c>
      <c r="AB10">
        <v>10.05034871008424</v>
      </c>
      <c r="AC10">
        <v>0.44355570185537763</v>
      </c>
      <c r="AD10">
        <v>70.982168006496366</v>
      </c>
      <c r="AE10">
        <v>0.87449246565154604</v>
      </c>
      <c r="AF10" t="s">
        <v>26</v>
      </c>
      <c r="AG10">
        <v>50</v>
      </c>
      <c r="AH10" t="s">
        <v>27</v>
      </c>
      <c r="AI10">
        <v>1024</v>
      </c>
      <c r="AJ10">
        <v>1024</v>
      </c>
      <c r="AK10">
        <v>2400</v>
      </c>
      <c r="AL10" t="s">
        <v>113</v>
      </c>
      <c r="AM10" s="2">
        <v>44624</v>
      </c>
    </row>
    <row r="11" spans="1:39" x14ac:dyDescent="0.3">
      <c r="A11" t="s">
        <v>122</v>
      </c>
      <c r="B11">
        <v>2.2499999999999999E-2</v>
      </c>
      <c r="C11">
        <v>7.6325215681010916E-2</v>
      </c>
      <c r="D11">
        <v>0.19833333333333331</v>
      </c>
      <c r="E11">
        <v>0.28341835459056081</v>
      </c>
      <c r="F11">
        <v>1.093333333333333</v>
      </c>
      <c r="G11">
        <v>0.67582778670228671</v>
      </c>
      <c r="H11">
        <v>3.8450000000000002</v>
      </c>
      <c r="I11">
        <v>1.185616270571167</v>
      </c>
      <c r="J11">
        <v>14.008333333333329</v>
      </c>
      <c r="K11">
        <v>2.0087852682574749</v>
      </c>
      <c r="L11">
        <v>56.490833333333327</v>
      </c>
      <c r="M11">
        <v>5.1343575735182068</v>
      </c>
      <c r="N11">
        <v>18.442499999999999</v>
      </c>
      <c r="O11">
        <v>3.1255939344883972</v>
      </c>
      <c r="P11">
        <v>5.8925000000000001</v>
      </c>
      <c r="Q11">
        <v>2.9470248314432061</v>
      </c>
      <c r="R11">
        <v>6.6666666666666671E-3</v>
      </c>
      <c r="S11">
        <v>4.7140452079103168E-2</v>
      </c>
      <c r="T11">
        <v>0</v>
      </c>
      <c r="U11">
        <v>0</v>
      </c>
      <c r="V11">
        <v>0</v>
      </c>
      <c r="W11">
        <v>0</v>
      </c>
      <c r="X11">
        <v>-231.3532427141825</v>
      </c>
      <c r="Y11">
        <v>420.42031486947559</v>
      </c>
      <c r="Z11">
        <v>9.4990319857238639</v>
      </c>
      <c r="AA11">
        <v>0.26850802388004552</v>
      </c>
      <c r="AB11">
        <v>9.2593442879535353</v>
      </c>
      <c r="AC11">
        <v>0.2249567643842266</v>
      </c>
      <c r="AD11">
        <v>18.758376273677399</v>
      </c>
      <c r="AE11">
        <v>0.27827168471850727</v>
      </c>
      <c r="AF11" t="s">
        <v>26</v>
      </c>
      <c r="AG11">
        <v>50</v>
      </c>
      <c r="AH11" t="s">
        <v>27</v>
      </c>
      <c r="AI11">
        <v>1024</v>
      </c>
      <c r="AJ11">
        <v>1024</v>
      </c>
      <c r="AK11">
        <v>2400</v>
      </c>
      <c r="AL11" t="s">
        <v>113</v>
      </c>
      <c r="AM11" s="2">
        <v>44624</v>
      </c>
    </row>
    <row r="12" spans="1:39" x14ac:dyDescent="0.3">
      <c r="B12">
        <f>AVERAGE(B2:B11)</f>
        <v>5.3002500000000001</v>
      </c>
      <c r="C12">
        <f>AVERAGE(C2:C11)/SQRT(10)</f>
        <v>1.5440412146795148</v>
      </c>
      <c r="D12">
        <f>AVERAGE(D2:D11)</f>
        <v>2.4738333333333338</v>
      </c>
      <c r="E12">
        <f>AVERAGE(E2:E11)/SQRT(10)</f>
        <v>0.28675930205639855</v>
      </c>
      <c r="F12">
        <f>AVERAGE(F2:F11)</f>
        <v>4.2649999999999988</v>
      </c>
      <c r="G12">
        <f>AVERAGE(G2:G11)/SQRT(10)</f>
        <v>0.36738210527883181</v>
      </c>
      <c r="H12">
        <f>AVERAGE(H2:H11)</f>
        <v>5.4952500000000004</v>
      </c>
      <c r="I12">
        <f>AVERAGE(I2:I11)/SQRT(10)</f>
        <v>0.41841280361011074</v>
      </c>
      <c r="J12">
        <f>AVERAGE(J2:J11)</f>
        <v>13.233333333333331</v>
      </c>
      <c r="K12">
        <f>AVERAGE(K2:K11)/SQRT(10)</f>
        <v>0.69852819659127552</v>
      </c>
      <c r="L12">
        <f>AVERAGE(L2:L11)</f>
        <v>53.134249999999987</v>
      </c>
      <c r="M12">
        <f>AVERAGE(M2:M11)/SQRT(10)</f>
        <v>2.07342327190453</v>
      </c>
      <c r="N12">
        <f>AVERAGE(N2:N11)</f>
        <v>11.470249999999998</v>
      </c>
      <c r="O12">
        <f>AVERAGE(O2:O11)/SQRT(10)</f>
        <v>0.95027242275616364</v>
      </c>
      <c r="P12">
        <f>AVERAGE(P2:P11)</f>
        <v>4.5296666666666665</v>
      </c>
      <c r="Q12">
        <f>AVERAGE(Q2:Q11)/SQRT(10)</f>
        <v>0.67539778932583905</v>
      </c>
      <c r="R12">
        <f>AVERAGE(R2:R11)</f>
        <v>9.7833333333333342E-2</v>
      </c>
      <c r="S12">
        <f>AVERAGE(S2:S11)/SQRT(10)</f>
        <v>5.3983574223302778E-2</v>
      </c>
      <c r="T12">
        <f>AVERAGE(T2:T11)</f>
        <v>3.3333333333333338E-4</v>
      </c>
      <c r="U12">
        <f>AVERAGE(U2:U11)/SQRT(10)</f>
        <v>5.2164053095730099E-4</v>
      </c>
      <c r="V12">
        <f>AVERAGE(V2:V11)</f>
        <v>0</v>
      </c>
      <c r="W12">
        <f>AVERAGE(W2:W11)/SQRT(10)</f>
        <v>0</v>
      </c>
    </row>
    <row r="13" spans="1:39" x14ac:dyDescent="0.3">
      <c r="H13">
        <f>SUM(B12,D12,F12,H12)</f>
        <v>17.534333333333333</v>
      </c>
      <c r="I13">
        <f>SUM(C12,E12,G12,I12)</f>
        <v>2.616595425624856</v>
      </c>
      <c r="P13">
        <f>SUM(V12,T12,R12,P12)</f>
        <v>4.6278333333333332</v>
      </c>
      <c r="Q13">
        <f>SUM(W12,U12,S12,Q12)</f>
        <v>0.72990300408009912</v>
      </c>
    </row>
    <row r="16" spans="1:39" x14ac:dyDescent="0.3">
      <c r="L16">
        <f>SUM(H13,J12,L12,N12,P13)</f>
        <v>99.999999999999972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adult#010</vt:lpstr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2025-01-21T20:13:12Z</dcterms:created>
  <dcterms:modified xsi:type="dcterms:W3CDTF">2025-01-26T15:58:50Z</dcterms:modified>
</cp:coreProperties>
</file>